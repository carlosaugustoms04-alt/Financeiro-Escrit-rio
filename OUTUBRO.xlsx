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SUARIO\Desktop\CONTROLE PATRICIA\"/>
    </mc:Choice>
  </mc:AlternateContent>
  <xr:revisionPtr revIDLastSave="0" documentId="13_ncr:1_{188EAA67-B305-4E7B-B681-1908DE1284D3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Desp Escr" sheetId="1" r:id="rId1"/>
    <sheet name="Desp Pessoais" sheetId="2" r:id="rId2"/>
    <sheet name="Planilha3" sheetId="3" r:id="rId3"/>
    <sheet name="Honorario" sheetId="4" r:id="rId4"/>
    <sheet name="Planilha4" sheetId="5" r:id="rId5"/>
    <sheet name="CLIENTES QUE NÃO PAGAM" sheetId="6" r:id="rId6"/>
    <sheet name="relatórios debitos joja" sheetId="7" r:id="rId7"/>
    <sheet name="Banco" sheetId="8" r:id="rId8"/>
    <sheet name="Planilha Débito Consorcio Magrã" sheetId="9" r:id="rId9"/>
    <sheet name="Resumo" sheetId="10" r:id="rId10"/>
    <sheet name="Ano" sheetId="11" r:id="rId11"/>
    <sheet name="IR 2026" sheetId="12" r:id="rId12"/>
    <sheet name="PLANILHA SANEPRAG PARA ABATER N" sheetId="13" r:id="rId13"/>
    <sheet name="Joja" sheetId="14" r:id="rId14"/>
    <sheet name="Planilha5" sheetId="15" r:id="rId15"/>
    <sheet name="EVANDRO" sheetId="16" r:id="rId16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20" roundtripDataChecksum="ytbYv3MUfnSDWKEYLmy12owh+e3tJrss0bRy33uGNdU="/>
    </ext>
  </extLst>
</workbook>
</file>

<file path=xl/calcChain.xml><?xml version="1.0" encoding="utf-8"?>
<calcChain xmlns="http://schemas.openxmlformats.org/spreadsheetml/2006/main">
  <c r="G12" i="8" l="1"/>
  <c r="A80" i="7" l="1"/>
  <c r="F32" i="9" l="1"/>
  <c r="E32" i="9"/>
  <c r="C32" i="9"/>
  <c r="L14" i="1" l="1"/>
  <c r="D42" i="1" l="1"/>
  <c r="F6" i="5" l="1"/>
  <c r="G7" i="1" l="1"/>
  <c r="G37" i="4" l="1"/>
  <c r="H109" i="4" l="1"/>
  <c r="G41" i="2" l="1"/>
  <c r="I41" i="2" s="1"/>
  <c r="O48" i="1" l="1"/>
  <c r="A78" i="7" l="1"/>
  <c r="E24" i="6" l="1"/>
  <c r="D24" i="6"/>
  <c r="C37" i="2" l="1"/>
  <c r="B27" i="15" l="1"/>
  <c r="B20" i="15"/>
  <c r="B10" i="15"/>
  <c r="B37" i="15" s="1"/>
  <c r="B26" i="13"/>
  <c r="C182" i="12"/>
  <c r="B182" i="12"/>
  <c r="O95" i="11"/>
  <c r="N95" i="11"/>
  <c r="M95" i="11"/>
  <c r="L95" i="11"/>
  <c r="P95" i="11" s="1"/>
  <c r="J95" i="11"/>
  <c r="I95" i="11"/>
  <c r="H95" i="11"/>
  <c r="G95" i="11"/>
  <c r="K95" i="11" s="1"/>
  <c r="E95" i="11"/>
  <c r="F95" i="11" s="1"/>
  <c r="D95" i="11"/>
  <c r="C95" i="11"/>
  <c r="B95" i="11"/>
  <c r="B7" i="10"/>
  <c r="B24" i="7"/>
  <c r="B17" i="7"/>
  <c r="B34" i="7" s="1"/>
  <c r="B7" i="7"/>
  <c r="C172" i="4"/>
  <c r="C164" i="4"/>
  <c r="C144" i="4"/>
  <c r="F137" i="4"/>
  <c r="C137" i="4"/>
  <c r="C127" i="4"/>
  <c r="C154" i="4" s="1"/>
  <c r="C118" i="4"/>
  <c r="E118" i="4" s="1"/>
  <c r="H49" i="4"/>
  <c r="G42" i="4"/>
  <c r="C47" i="2"/>
  <c r="C42" i="1"/>
  <c r="B5" i="10" l="1"/>
  <c r="C78" i="1"/>
  <c r="E78" i="1" s="1"/>
  <c r="E182" i="12"/>
  <c r="C48" i="2"/>
  <c r="E48" i="2" s="1"/>
  <c r="B3" i="10"/>
  <c r="B4" i="10" s="1"/>
  <c r="B6" i="10"/>
  <c r="B8" i="10" l="1"/>
  <c r="B9" i="10" s="1"/>
</calcChain>
</file>

<file path=xl/sharedStrings.xml><?xml version="1.0" encoding="utf-8"?>
<sst xmlns="http://schemas.openxmlformats.org/spreadsheetml/2006/main" count="1294" uniqueCount="774">
  <si>
    <t>VENCIMENTO</t>
  </si>
  <si>
    <t>HISTÓRICO</t>
  </si>
  <si>
    <t>VL DEVIDO</t>
  </si>
  <si>
    <t>VL PAGO</t>
  </si>
  <si>
    <t xml:space="preserve">EMEX </t>
  </si>
  <si>
    <t>Carlos Augusto</t>
  </si>
  <si>
    <t>Priscila</t>
  </si>
  <si>
    <t>Jeniffer</t>
  </si>
  <si>
    <t>Aguas de Paraty</t>
  </si>
  <si>
    <t>Econet Editora</t>
  </si>
  <si>
    <t>VIVO FIBRA E VIVO MOVEL</t>
  </si>
  <si>
    <t>Vitrina - Vigilancia Sanitaria</t>
  </si>
  <si>
    <t>Vitrina - ISS</t>
  </si>
  <si>
    <t>Vitrina - Licença Prefeitura Patricia02/02</t>
  </si>
  <si>
    <t>SUBTOTAL</t>
  </si>
  <si>
    <t>HISTÓRICO DE DESPESAS PENDENTES</t>
  </si>
  <si>
    <t>Carlos PJ - Previdencia 04/2022</t>
  </si>
  <si>
    <t>Carlos PJ - Previdencia 13/2022</t>
  </si>
  <si>
    <t>FEVEREIRO 2026</t>
  </si>
  <si>
    <t>HISTÓRICO DESPESA DO MÊS</t>
  </si>
  <si>
    <t>Cabonnet</t>
  </si>
  <si>
    <t>Paraty Telecom Internet</t>
  </si>
  <si>
    <t>Santa Casa Saude</t>
  </si>
  <si>
    <t>ENEL CASA</t>
  </si>
  <si>
    <t>EDP Bandeirante</t>
  </si>
  <si>
    <t>Monitoramento BM</t>
  </si>
  <si>
    <t>Faculdade Cruzeiro do Sul</t>
  </si>
  <si>
    <t>Maçonaria</t>
  </si>
  <si>
    <t>Faculdade Gu</t>
  </si>
  <si>
    <t xml:space="preserve">Faculdade Patricia </t>
  </si>
  <si>
    <t>Nane Terapia Carlinhos</t>
  </si>
  <si>
    <t>Condominio Ubatuba</t>
  </si>
  <si>
    <t>52 parcelas de 2.222,19 10/09/2026 + 4 x 10.620,75 10 /06/2027</t>
  </si>
  <si>
    <t>HISTÓRICO DESPESA PENDENTE</t>
  </si>
  <si>
    <t>TOTAL</t>
  </si>
  <si>
    <t>MAIO/2026</t>
  </si>
  <si>
    <t>Kaete</t>
  </si>
  <si>
    <t>Lucas Magias</t>
  </si>
  <si>
    <t>DATA</t>
  </si>
  <si>
    <t>VALOR</t>
  </si>
  <si>
    <t>VL RECEB.</t>
  </si>
  <si>
    <t>WA</t>
  </si>
  <si>
    <t>AIF</t>
  </si>
  <si>
    <t>Maira</t>
  </si>
  <si>
    <t>BOLETO</t>
  </si>
  <si>
    <t>Agencia onde Ir  854,00</t>
  </si>
  <si>
    <t>39.598.104/0001-85</t>
  </si>
  <si>
    <t>04 MESE + ADICIO 4000,00</t>
  </si>
  <si>
    <t>Tiago</t>
  </si>
  <si>
    <t>Associação Arara Azul</t>
  </si>
  <si>
    <t xml:space="preserve">BOLETO </t>
  </si>
  <si>
    <t>Arte Restauração</t>
  </si>
  <si>
    <t>51.406.297/0001-20</t>
  </si>
  <si>
    <t>Bianca</t>
  </si>
  <si>
    <t>Alfred TUAREG</t>
  </si>
  <si>
    <t>26.721.506/0001-83</t>
  </si>
  <si>
    <t>Atelie Sandra 540,00</t>
  </si>
  <si>
    <t>54.248.966/0001-71</t>
  </si>
  <si>
    <t>12 mese debitos</t>
  </si>
  <si>
    <t>Alambique Fim do Seculo 1621,00</t>
  </si>
  <si>
    <t>42.643.174/0001-12</t>
  </si>
  <si>
    <t>ALAMBIQUE PRAIANO LTDA</t>
  </si>
  <si>
    <t>B Cabral Monteiro / Gastrobar</t>
  </si>
  <si>
    <t>Brenno 352,00</t>
  </si>
  <si>
    <t>BRUNO GUEDES IMOVEIS - LTDA</t>
  </si>
  <si>
    <t>53.506.628/0001-20</t>
  </si>
  <si>
    <t>C F Vikings Ltda 540,00</t>
  </si>
  <si>
    <t>46.773.026/0001-73</t>
  </si>
  <si>
    <t>500,00 ADICIONAL</t>
  </si>
  <si>
    <t>Casa de Vovo</t>
  </si>
  <si>
    <t>48.076.810/0001-58</t>
  </si>
  <si>
    <t>*</t>
  </si>
  <si>
    <t>Cau Benicio 677,00</t>
  </si>
  <si>
    <t>634,00 ADICIO</t>
  </si>
  <si>
    <t>Ciborg 640,00</t>
  </si>
  <si>
    <t>55.801.311/0001-41</t>
  </si>
  <si>
    <t>CONDOMINIO MATA ATLANTICA</t>
  </si>
  <si>
    <t>06.067.570/0001-85</t>
  </si>
  <si>
    <t>CPJ Medicina - Crisane 277,00</t>
  </si>
  <si>
    <t>48.859.310/0001-92</t>
  </si>
  <si>
    <t>CPJ Medicina - Alexandre  2.800,00</t>
  </si>
  <si>
    <t>BRUNO BRASIL</t>
  </si>
  <si>
    <t>AROLDO</t>
  </si>
  <si>
    <t>FALTA FAZER O BOLETO</t>
  </si>
  <si>
    <t>Cida e Leo 480,00</t>
  </si>
  <si>
    <t>Construmaster Paraty - Ltda</t>
  </si>
  <si>
    <t>67.320.727/0001-27</t>
  </si>
  <si>
    <t>Cooparatyense</t>
  </si>
  <si>
    <t>CT Espaço Vida 677,00</t>
  </si>
  <si>
    <t>39.151.190/0001-83</t>
  </si>
  <si>
    <t>Debota Oltomani</t>
  </si>
  <si>
    <t>E.C.B. de Abreu</t>
  </si>
  <si>
    <t>JOJA</t>
  </si>
  <si>
    <t>Engenho D´água</t>
  </si>
  <si>
    <t>até fev já descontando 8.000 dos carros</t>
  </si>
  <si>
    <t>Graça mãe Dr Oswaldo 150,00</t>
  </si>
  <si>
    <t>marc/abr/mai/jun/jul/AGO</t>
  </si>
  <si>
    <t>48.176.826/0001-32</t>
  </si>
  <si>
    <t xml:space="preserve">26/05 PAGOU </t>
  </si>
  <si>
    <t>FPS COMERCIO E SERVIÇO LTDA (FLAVIO RIO)</t>
  </si>
  <si>
    <t>63.881.953/0001-26</t>
  </si>
  <si>
    <t>FISIOPARATY  540,00</t>
  </si>
  <si>
    <t>44.283.884/0001-04</t>
  </si>
  <si>
    <t>F. R. Empanadas Ltda - Rosendo</t>
  </si>
  <si>
    <t>19/08 PAGOU</t>
  </si>
  <si>
    <t>Garden Grill Steak Bar Ltda 1621,00</t>
  </si>
  <si>
    <t>49.326.846/0001-60</t>
  </si>
  <si>
    <t>RESTA</t>
  </si>
  <si>
    <t>Goia Paraty Restaurante LTDA 1010,00</t>
  </si>
  <si>
    <t>SET/</t>
  </si>
  <si>
    <t>Igreja Batista Patrimonio</t>
  </si>
  <si>
    <t>JPM Holding Ltda</t>
  </si>
  <si>
    <t>52.675.390/0001-01</t>
  </si>
  <si>
    <t>Joja Auto Serviços Ltda</t>
  </si>
  <si>
    <t>02.776.429/0001-09</t>
  </si>
  <si>
    <t>VLJ COMERCIAL LTDA GUARA</t>
  </si>
  <si>
    <t>03.791,872/0001-03</t>
  </si>
  <si>
    <t>VLJ COMERCIAL LTDA PARATY</t>
  </si>
  <si>
    <t>03.791.872/0002-94</t>
  </si>
  <si>
    <t>Karine Produções e Eventos</t>
  </si>
  <si>
    <t>46.320.265/0001-78</t>
  </si>
  <si>
    <t>0ut</t>
  </si>
  <si>
    <t>L. F. Godoy</t>
  </si>
  <si>
    <t>segurar ate julho</t>
  </si>
  <si>
    <t>Leal Fort  1070,00</t>
  </si>
  <si>
    <t>55.710.211/0001-00</t>
  </si>
  <si>
    <t>nov</t>
  </si>
  <si>
    <t>Mundo Fitness Paraty Ltda ME</t>
  </si>
  <si>
    <t>66.256.399/0001-84</t>
  </si>
  <si>
    <t>BOLETO DIA 10</t>
  </si>
  <si>
    <t>Luis Antonio Lara dos Santos (Ludimila) 1600,00</t>
  </si>
  <si>
    <t>01.140.539/0001-09</t>
  </si>
  <si>
    <t xml:space="preserve">mensalidade </t>
  </si>
  <si>
    <t>Restaurante da Matriz de Paraty Ltda 975,00</t>
  </si>
  <si>
    <t>31.178.6260001-16</t>
  </si>
  <si>
    <t>Laina 614,00</t>
  </si>
  <si>
    <t>DEZ</t>
  </si>
  <si>
    <t>Lajes Macuco S/M</t>
  </si>
  <si>
    <t>31.178..626/0001-16</t>
  </si>
  <si>
    <t>LUMINA'S CLINICA DE ESTETICA - LTDA 600,00</t>
  </si>
  <si>
    <t>64.947.766/0001-60</t>
  </si>
  <si>
    <t>JAN</t>
  </si>
  <si>
    <t>Matias 250,00 EMNQUANTO ESTIVER PARADO</t>
  </si>
  <si>
    <t>Manaca Material Construção 1057,00</t>
  </si>
  <si>
    <t>até mensalidade adicional</t>
  </si>
  <si>
    <t>4.100,00 até mens adic + 1.057,00 jan/26+ 1.057,00 fev/26= 6.214,00 - 1.189,29 03/26= 5.0,24,71-518,00 DIF PAGAMENTO 04/2025-499,00 material pego em 05/2026= 4.007,71- 178,00-17,80 material pego em  05/26=3.811,91+ 300,00+300,00 IRPF 2026 VAN E FELI= 4.411,91 + 1057,00 HONOR 04/2026= 5468,91+ 500,00 IR26VF= 5.968,91</t>
  </si>
  <si>
    <t>Magias de Paraty Eco Pousada 800,00</t>
  </si>
  <si>
    <t>44.343.611/0001-08</t>
  </si>
  <si>
    <t>M P Restaurante / Paulo Alcobaca</t>
  </si>
  <si>
    <t>Marmoraria Soluções 1.530,00</t>
  </si>
  <si>
    <t>Marcos Vinicius 700,00</t>
  </si>
  <si>
    <t>ULTIMO MÊS</t>
  </si>
  <si>
    <t>52.240.666/0001-10</t>
  </si>
  <si>
    <t>Meat Boutique de Carne Ltda 1000,0</t>
  </si>
  <si>
    <t xml:space="preserve">39.976.480/0001-66 </t>
  </si>
  <si>
    <t>Maira 800,00</t>
  </si>
  <si>
    <t>Nick Baby Ltda 677,00</t>
  </si>
  <si>
    <t>50.115.689/0001-78</t>
  </si>
  <si>
    <t>CARBO BR ECO-INDUSTRIAL LTDA 150,00 LUCAS AQUINO</t>
  </si>
  <si>
    <t>61.945.260/0001-24</t>
  </si>
  <si>
    <t>MM DE OLIVEIRA AQUINO - LUCAS AQUINO</t>
  </si>
  <si>
    <t>30.670.301/0001-93</t>
  </si>
  <si>
    <t>Novaclin Clinica Vascular  780,00</t>
  </si>
  <si>
    <t>18.981.283/0001-65</t>
  </si>
  <si>
    <t>OLIVIA BASILIE DOMESTICA VO JOÃO 150,00</t>
  </si>
  <si>
    <t>525.246.808-78</t>
  </si>
  <si>
    <t>P V S Victoriano 1185,00</t>
  </si>
  <si>
    <t>13°</t>
  </si>
  <si>
    <t>P.S. Express Paraty Ltda</t>
  </si>
  <si>
    <t>41.625.953/0001-22</t>
  </si>
  <si>
    <t>Paratycana 2.860,00</t>
  </si>
  <si>
    <t>PNL 570,00</t>
  </si>
  <si>
    <t>BOLETO 05</t>
  </si>
  <si>
    <t>RENOVA ATIVIDADE DE PILATES E FISIOTERAPIA LTDA</t>
  </si>
  <si>
    <t>64.081.674/0001-40</t>
  </si>
  <si>
    <t>ROALE EMPRESARIAL LTDA  1.621,00</t>
  </si>
  <si>
    <t>62.866.396/0001-01</t>
  </si>
  <si>
    <t>Pousada Rumo dos Ventos 1.507,00</t>
  </si>
  <si>
    <t>Sena &amp; Correira Construções200sm/500cm 800,00</t>
  </si>
  <si>
    <t>com movimento</t>
  </si>
  <si>
    <t>Studio ARB LTDA</t>
  </si>
  <si>
    <t>66.307.614/0001-29</t>
  </si>
  <si>
    <t>Substância Paraty</t>
  </si>
  <si>
    <t>46.063.713/0001-03</t>
  </si>
  <si>
    <t>PR Construção e Engenharia Ltda 160,00</t>
  </si>
  <si>
    <t>48.150.956/0001-04</t>
  </si>
  <si>
    <t>Pro Rio 1518,00</t>
  </si>
  <si>
    <t>RL Paraty Imóveis</t>
  </si>
  <si>
    <t>Qualker Mar   380,00</t>
  </si>
  <si>
    <t>Quintais 1.070,00</t>
  </si>
  <si>
    <t>20 PIX</t>
  </si>
  <si>
    <t>Restaurante Agua do Mar</t>
  </si>
  <si>
    <t>60.784.785/0001-62</t>
  </si>
  <si>
    <t>Rodrigo Ramos Machado 13440490793 615,00</t>
  </si>
  <si>
    <t>25.960.916/0001-14</t>
  </si>
  <si>
    <t>Saneprag 430,00</t>
  </si>
  <si>
    <t>ABATER DEDETIZAÇÃO</t>
  </si>
  <si>
    <t>Santos &amp; Carvalho 1070,00</t>
  </si>
  <si>
    <t>Ships</t>
  </si>
  <si>
    <t>Tiago Garrido</t>
  </si>
  <si>
    <t>Tibil Nautica 940,00</t>
  </si>
  <si>
    <t>Trevo Clube Recreativo</t>
  </si>
  <si>
    <t>30.320.881/0001-99</t>
  </si>
  <si>
    <t>Video Lanche</t>
  </si>
  <si>
    <t>Ultra Smart 1.200,00</t>
  </si>
  <si>
    <t>Universo Solar</t>
  </si>
  <si>
    <t>37.763.791/0001-11</t>
  </si>
  <si>
    <t>Walter Trindade 825,00</t>
  </si>
  <si>
    <t>W A Veículos Ltda 1.070,00</t>
  </si>
  <si>
    <t>TOTAL A RECEBER ATÉ 03/02/2026</t>
  </si>
  <si>
    <t>Gerson Andre de Araujo 150,00</t>
  </si>
  <si>
    <t>000.728.668-61</t>
  </si>
  <si>
    <t>Y M C Magalhães Ltda 705,00</t>
  </si>
  <si>
    <t>39.411.961/0001-24</t>
  </si>
  <si>
    <t>Yogart Produções Ltda</t>
  </si>
  <si>
    <t>48.820.315/0001-01</t>
  </si>
  <si>
    <t xml:space="preserve">Karen IRMÃ ROGE </t>
  </si>
  <si>
    <t>218.055..908-98</t>
  </si>
  <si>
    <t>RENATA PETER (ROGE)</t>
  </si>
  <si>
    <t>14.529.933/0001-85</t>
  </si>
  <si>
    <t>PIX</t>
  </si>
  <si>
    <t>PRISCILA FLORIANO</t>
  </si>
  <si>
    <t>abateu 500,00 das memorias do note</t>
  </si>
  <si>
    <t>66.384.463/0001-02</t>
  </si>
  <si>
    <t>THALES CAMARGO 760,00</t>
  </si>
  <si>
    <t>26.913.35/0001-07</t>
  </si>
  <si>
    <t>P E N CONSTRUÇÕES LTDA 540,00</t>
  </si>
  <si>
    <t>62.019.025/0001-94</t>
  </si>
  <si>
    <t>PARATY TRANSFER</t>
  </si>
  <si>
    <t>53.497.503/0001-80</t>
  </si>
  <si>
    <t>63.235.655/0001-69</t>
  </si>
  <si>
    <t>SUBTOTAL 1</t>
  </si>
  <si>
    <t>OUTUBRO / 2023</t>
  </si>
  <si>
    <t>Joja - Enquadramento EPP</t>
  </si>
  <si>
    <t>Vitor - Reativação</t>
  </si>
  <si>
    <t>03.791.872/0001-03</t>
  </si>
  <si>
    <t>Vitor - Terceira Alteração 02/02</t>
  </si>
  <si>
    <t>Vitor - Quarta Alteração 02/02</t>
  </si>
  <si>
    <t>NOVEMBRO / 2023</t>
  </si>
  <si>
    <t>VLJ 03/04</t>
  </si>
  <si>
    <t>VLJ GUARA</t>
  </si>
  <si>
    <t>VLJ 01/02</t>
  </si>
  <si>
    <t>VLJ PARATY</t>
  </si>
  <si>
    <t>Via Service 01/02</t>
  </si>
  <si>
    <t>VIA SERVICE GUARA</t>
  </si>
  <si>
    <t>Certificado PF João Lucas</t>
  </si>
  <si>
    <t xml:space="preserve">VLJ LORENA </t>
  </si>
  <si>
    <t>ENCERRAMENTO</t>
  </si>
  <si>
    <t>Certificado PJ Via Service</t>
  </si>
  <si>
    <t>VIA SERVICE PARATY</t>
  </si>
  <si>
    <t>Certificado Seto</t>
  </si>
  <si>
    <t>Bombeiro Via Service</t>
  </si>
  <si>
    <t>DEZEMBRO / 2023</t>
  </si>
  <si>
    <t>VLJ 04/04</t>
  </si>
  <si>
    <t>VLJ 02/02</t>
  </si>
  <si>
    <t>Joja - Mensalidade Ad. 2023</t>
  </si>
  <si>
    <t>Plano Verao</t>
  </si>
  <si>
    <t>JANEIRO / 2024</t>
  </si>
  <si>
    <t>FEVEREIRO / 2024</t>
  </si>
  <si>
    <t>Plano Verão</t>
  </si>
  <si>
    <t>TOTAL GERAL</t>
  </si>
  <si>
    <t>Pousada Joao e Maria</t>
  </si>
  <si>
    <t xml:space="preserve">Honorarios </t>
  </si>
  <si>
    <t>Via Service Guara</t>
  </si>
  <si>
    <t>Livre Comercial</t>
  </si>
  <si>
    <t>VLJ</t>
  </si>
  <si>
    <t>Joja</t>
  </si>
  <si>
    <t>S</t>
  </si>
  <si>
    <t>P</t>
  </si>
  <si>
    <t>R</t>
  </si>
  <si>
    <t>VLJ guara</t>
  </si>
  <si>
    <t>Via service paraty</t>
  </si>
  <si>
    <t>vlj paraty</t>
  </si>
  <si>
    <t>Honorario 5.500 ate junho/2025</t>
  </si>
  <si>
    <t xml:space="preserve">PLANILHA JOJA DÉBITOS </t>
  </si>
  <si>
    <t>até fevereiro 2025 já descontado 8.000,00 dos carros</t>
  </si>
  <si>
    <t>março</t>
  </si>
  <si>
    <t>abril</t>
  </si>
  <si>
    <t>maio</t>
  </si>
  <si>
    <t>débito honorários</t>
  </si>
  <si>
    <t>acerto 26/05/2025</t>
  </si>
  <si>
    <t>a acertar</t>
  </si>
  <si>
    <t>junho</t>
  </si>
  <si>
    <t xml:space="preserve">julho </t>
  </si>
  <si>
    <t>agosto</t>
  </si>
  <si>
    <t>acerto 19/08/2025</t>
  </si>
  <si>
    <t>setembro</t>
  </si>
  <si>
    <t>outubro</t>
  </si>
  <si>
    <t>débitos de honorário</t>
  </si>
  <si>
    <t>acerto 24/10/2025</t>
  </si>
  <si>
    <t>novembro</t>
  </si>
  <si>
    <t>dezembro</t>
  </si>
  <si>
    <t>mensalidade adicional</t>
  </si>
  <si>
    <t>tota de débito ref a honorario</t>
  </si>
  <si>
    <t>DEBITOS PLANO VERAO E ALTERAÇÕES 23/24</t>
  </si>
  <si>
    <t>DEBITOS DE HONOARIOS DE 24/25 E JAN 26</t>
  </si>
  <si>
    <t xml:space="preserve">TOTAL DE DEBITOS </t>
  </si>
  <si>
    <t>TROCA DE PNEU 20/03/2026</t>
  </si>
  <si>
    <t xml:space="preserve">TROCA DE ÓLEO </t>
  </si>
  <si>
    <t>BATERIA 15/09/2025 TIAGO</t>
  </si>
  <si>
    <t>MÃO DE OBRA SCANER 15/09/2025 TIAGO</t>
  </si>
  <si>
    <t>A ABATER DOS DÉBITOS</t>
  </si>
  <si>
    <t>TOTAL DOS DÉBITOS</t>
  </si>
  <si>
    <t>JANEIRO</t>
  </si>
  <si>
    <t>Cartão NuBank Patricia</t>
  </si>
  <si>
    <t>Cartão NuBank Patricia PJ</t>
  </si>
  <si>
    <t>Cartão NuBank Carlos</t>
  </si>
  <si>
    <t>Cartão NuBank Carlos PJ</t>
  </si>
  <si>
    <t>Caixa Mastercard</t>
  </si>
  <si>
    <t>Itau</t>
  </si>
  <si>
    <t xml:space="preserve">Riachuelo </t>
  </si>
  <si>
    <t>Caixa Elo</t>
  </si>
  <si>
    <t>Cartão Casas Bahia</t>
  </si>
  <si>
    <t>Cartão Carrefour</t>
  </si>
  <si>
    <t>Cartão XP</t>
  </si>
  <si>
    <t>Cartão Atacadão 02/04</t>
  </si>
  <si>
    <t>Cartão Torra Torra</t>
  </si>
  <si>
    <t>Carlão</t>
  </si>
  <si>
    <t>Financiamento Escritório 73/360</t>
  </si>
  <si>
    <t xml:space="preserve">CONSORCIO MAGRÃO </t>
  </si>
  <si>
    <t xml:space="preserve">PARCELA </t>
  </si>
  <si>
    <t>MÊS</t>
  </si>
  <si>
    <t xml:space="preserve">VALOR PARCELA </t>
  </si>
  <si>
    <t xml:space="preserve">VALOR PAGO </t>
  </si>
  <si>
    <t xml:space="preserve">TOTAL DE DÉBITO </t>
  </si>
  <si>
    <t>marc/26</t>
  </si>
  <si>
    <t xml:space="preserve"> </t>
  </si>
  <si>
    <t>marc/27</t>
  </si>
  <si>
    <t>SALDO DEVEDOR</t>
  </si>
  <si>
    <t>MARÇO/2025</t>
  </si>
  <si>
    <t>RENDIMENTOS</t>
  </si>
  <si>
    <t>TOTAL RENDIMENTOS</t>
  </si>
  <si>
    <t>DESPESAS ESCRITÓRIO</t>
  </si>
  <si>
    <t>DESPESAS PESSOAIS</t>
  </si>
  <si>
    <t>BANCO</t>
  </si>
  <si>
    <t>TOTAL DESPESAS</t>
  </si>
  <si>
    <t>SALDO LIQUIDO</t>
  </si>
  <si>
    <t>MAIO / 2023</t>
  </si>
  <si>
    <t>JUNHO / 2020</t>
  </si>
  <si>
    <t>HONORARIO</t>
  </si>
  <si>
    <t>DESP ESCRITÓRIO</t>
  </si>
  <si>
    <t>DESP PESSOAIS</t>
  </si>
  <si>
    <t>SALDO MÊS</t>
  </si>
  <si>
    <t>Engenho D´ouro</t>
  </si>
  <si>
    <t>Paratycana</t>
  </si>
  <si>
    <t>APACAP</t>
  </si>
  <si>
    <t>Novaclin Clinica Vascular</t>
  </si>
  <si>
    <t>Saneprag</t>
  </si>
  <si>
    <t>Auto Peças Paraty</t>
  </si>
  <si>
    <t xml:space="preserve">Edson Lapa Malvão </t>
  </si>
  <si>
    <t>Magma</t>
  </si>
  <si>
    <t>Agua Hotel Paraty</t>
  </si>
  <si>
    <t>Associação Moradores</t>
  </si>
  <si>
    <t>Tibil Nautica</t>
  </si>
  <si>
    <t>Fox Model</t>
  </si>
  <si>
    <t>Marlene</t>
  </si>
  <si>
    <t>M. J. da Silva</t>
  </si>
  <si>
    <t>Marcos - MEI</t>
  </si>
  <si>
    <t>PNL</t>
  </si>
  <si>
    <t>Camilo</t>
  </si>
  <si>
    <t>Rezende e Flauzino</t>
  </si>
  <si>
    <t>Quintais</t>
  </si>
  <si>
    <t>Astronauta</t>
  </si>
  <si>
    <t>Igreja Batista</t>
  </si>
  <si>
    <t xml:space="preserve">IDASA - Patricia </t>
  </si>
  <si>
    <t xml:space="preserve">IDASA - Carlos </t>
  </si>
  <si>
    <t>RDU</t>
  </si>
  <si>
    <t>Academia Cross Fit</t>
  </si>
  <si>
    <t xml:space="preserve">Anastacio </t>
  </si>
  <si>
    <t>Cachaçaria Barbinoto</t>
  </si>
  <si>
    <t>Gastao</t>
  </si>
  <si>
    <t>Artuzo</t>
  </si>
  <si>
    <t>Pousada Flor da Terra</t>
  </si>
  <si>
    <t>Evandro</t>
  </si>
  <si>
    <t>L A Souto</t>
  </si>
  <si>
    <t>Lages Macuco</t>
  </si>
  <si>
    <t>Taimara</t>
  </si>
  <si>
    <t>Juliana</t>
  </si>
  <si>
    <t>Ingrid</t>
  </si>
  <si>
    <t>Fabricia JUCESP</t>
  </si>
  <si>
    <t>Lina</t>
  </si>
  <si>
    <t>FGTS Patricia 042020</t>
  </si>
  <si>
    <t>FGTS Carlos 04/2020</t>
  </si>
  <si>
    <t>IPTU</t>
  </si>
  <si>
    <t>Aguas de Paraty 03/2020</t>
  </si>
  <si>
    <t>Energia Eletrica Escritório 04/2020</t>
  </si>
  <si>
    <t>Telefone 03/2020</t>
  </si>
  <si>
    <t>Alterdata Sistema</t>
  </si>
  <si>
    <t>GPS Patricia 04/2020</t>
  </si>
  <si>
    <t>GPS Carlos 04/2020</t>
  </si>
  <si>
    <t>Processo Evandro</t>
  </si>
  <si>
    <t xml:space="preserve">Renan </t>
  </si>
  <si>
    <t>CRC 05/10</t>
  </si>
  <si>
    <t>SIMPLES Nacional - Patricia 04/2020</t>
  </si>
  <si>
    <t>Financiamento Escritório</t>
  </si>
  <si>
    <t>Financiamento Casa Comerciarios</t>
  </si>
  <si>
    <t>Maciel Pedreiro - 01/04</t>
  </si>
  <si>
    <t>Maciel Pedreiro - 02/04</t>
  </si>
  <si>
    <t>Maciel Pedreiro - 03/04</t>
  </si>
  <si>
    <t>Maciel Pedreiro - 04/04</t>
  </si>
  <si>
    <t>Bigode 13/63</t>
  </si>
  <si>
    <t>Carro 13/36</t>
  </si>
  <si>
    <t>Convenio Unimed</t>
  </si>
  <si>
    <t>Energia Eletrica</t>
  </si>
  <si>
    <t>Sheila 04/10</t>
  </si>
  <si>
    <t>Telefone Net Taubate</t>
  </si>
  <si>
    <t>IPTU 2020 - Patricia - 03/10</t>
  </si>
  <si>
    <t>IPTU 2020 - Carlos - 03/10</t>
  </si>
  <si>
    <t>Bruna 02/04</t>
  </si>
  <si>
    <t>Dani - Cartão geladeira - 05/10</t>
  </si>
  <si>
    <t>Cristiano Vidro - 04/08</t>
  </si>
  <si>
    <t>Marmoraria 04/05</t>
  </si>
  <si>
    <t>Financiamento Cross Fox</t>
  </si>
  <si>
    <t>Seguro Cross Fox</t>
  </si>
  <si>
    <t>Riachuelo 01/02</t>
  </si>
  <si>
    <t>Cartão NuBank</t>
  </si>
  <si>
    <t>Cartão Renner</t>
  </si>
  <si>
    <t>Cartão Atacadão</t>
  </si>
  <si>
    <t>Santander - Cartão</t>
  </si>
  <si>
    <t>Carlao</t>
  </si>
  <si>
    <t>Itau - Parcela 03/12</t>
  </si>
  <si>
    <t>IRPF</t>
  </si>
  <si>
    <t>PAGO</t>
  </si>
  <si>
    <t>ENTREGUE</t>
  </si>
  <si>
    <t>Adriana Lenhart 200,00</t>
  </si>
  <si>
    <t>Adriana Gama</t>
  </si>
  <si>
    <t>-</t>
  </si>
  <si>
    <t>OK</t>
  </si>
  <si>
    <t>Adriano Veloso dde Jesus</t>
  </si>
  <si>
    <t>Alda Gama</t>
  </si>
  <si>
    <t>Alexandre Salles</t>
  </si>
  <si>
    <t>Alza</t>
  </si>
  <si>
    <t>Ana Domestica</t>
  </si>
  <si>
    <t>Andre Advogado</t>
  </si>
  <si>
    <t>Aripuanã</t>
  </si>
  <si>
    <t>Aristides</t>
  </si>
  <si>
    <t xml:space="preserve">Aroldo </t>
  </si>
  <si>
    <t>Alexandre Novo</t>
  </si>
  <si>
    <t>Almerindo (Guiguinho)</t>
  </si>
  <si>
    <t>Ana Torres (500,00 2024)</t>
  </si>
  <si>
    <t>Andre Luis Chaves 650,00</t>
  </si>
  <si>
    <t>Angela</t>
  </si>
  <si>
    <t>Antonio Conceição Mello</t>
  </si>
  <si>
    <t>Antonio Chirico</t>
  </si>
  <si>
    <t>Benedita Coqueiro</t>
  </si>
  <si>
    <t>FICOU COM O GU</t>
  </si>
  <si>
    <t>Beatriz Arruda 250,00</t>
  </si>
  <si>
    <t>Bruna Rafaelle/Rafael Goulart</t>
  </si>
  <si>
    <t>Bruno Andrade</t>
  </si>
  <si>
    <t>Bruno Bianchi</t>
  </si>
  <si>
    <t>Bruno Guedes 250,00</t>
  </si>
  <si>
    <t>Beatriz Frada</t>
  </si>
  <si>
    <t>Caio Marcos</t>
  </si>
  <si>
    <t>Carlos Salgueirosa/Marcia Ipe</t>
  </si>
  <si>
    <t>Carlos Roberto  Faria junior</t>
  </si>
  <si>
    <t>Cacá</t>
  </si>
  <si>
    <t>Carol Medica</t>
  </si>
  <si>
    <t>Caue Gu recebeu</t>
  </si>
  <si>
    <t xml:space="preserve">Catiana </t>
  </si>
  <si>
    <t>Cida e Leo</t>
  </si>
  <si>
    <t>Claudia Graziella</t>
  </si>
  <si>
    <t>Claudia Lima Facin</t>
  </si>
  <si>
    <t>Claudia Ribeior de Moura Glauber</t>
  </si>
  <si>
    <t xml:space="preserve">Claudio Luiz Silva Gama </t>
  </si>
  <si>
    <t>200,00 IRPF</t>
  </si>
  <si>
    <t>DECLARAÇÃO MAPA</t>
  </si>
  <si>
    <t>Colleta</t>
  </si>
  <si>
    <t>Conceição Simonal</t>
  </si>
  <si>
    <t>Crisane</t>
  </si>
  <si>
    <t>Cristiane Zanelli</t>
  </si>
  <si>
    <t>Francisco - pai Maira</t>
  </si>
  <si>
    <t>Dafne</t>
  </si>
  <si>
    <t>Daiana</t>
  </si>
  <si>
    <t>125,00 / 2025</t>
  </si>
  <si>
    <t>Debora Oltramani</t>
  </si>
  <si>
    <t>Denise Arbex(400,00 2024)</t>
  </si>
  <si>
    <t>Demaura</t>
  </si>
  <si>
    <t>Denize (1000,00 2024)</t>
  </si>
  <si>
    <t>Diego Garcez</t>
  </si>
  <si>
    <t>Dudu</t>
  </si>
  <si>
    <t xml:space="preserve">Dudu </t>
  </si>
  <si>
    <t>Eduardinho</t>
  </si>
  <si>
    <t>Elieser Tarzan</t>
  </si>
  <si>
    <t>Antonio Melo</t>
  </si>
  <si>
    <t>Emilia</t>
  </si>
  <si>
    <t xml:space="preserve">Angela </t>
  </si>
  <si>
    <t>Erick Gomes</t>
  </si>
  <si>
    <t>Evandro Bueno</t>
  </si>
  <si>
    <t>Everton baroni</t>
  </si>
  <si>
    <t>Fabricio Prefeitura</t>
  </si>
  <si>
    <t>Felipe Barbinoto</t>
  </si>
  <si>
    <t>Felipe São Paio 200,00</t>
  </si>
  <si>
    <t xml:space="preserve">ABATER </t>
  </si>
  <si>
    <t>Fernanda Viana Martelly</t>
  </si>
  <si>
    <t>Francisco Ramos (Conceição)</t>
  </si>
  <si>
    <t>Franklin</t>
  </si>
  <si>
    <t>Gabriela Fiore</t>
  </si>
  <si>
    <t>Gabriela Gibrail</t>
  </si>
  <si>
    <t>Gabriela Medica</t>
  </si>
  <si>
    <t>Georg Karl</t>
  </si>
  <si>
    <t>Geraldo Magela 200,00</t>
  </si>
  <si>
    <t>Gerson Araujo</t>
  </si>
  <si>
    <t>Gil Basquete</t>
  </si>
  <si>
    <t>FICOU COM GU</t>
  </si>
  <si>
    <t>Gilmara</t>
  </si>
  <si>
    <t>Glauber</t>
  </si>
  <si>
    <t>Gustavo Pereira 100,00</t>
  </si>
  <si>
    <t>Gracinha 2024 + 2025</t>
  </si>
  <si>
    <t>Hamilton 450,00</t>
  </si>
  <si>
    <t>Henrique Goromel 350,00</t>
  </si>
  <si>
    <t>Heverton</t>
  </si>
  <si>
    <t>Hermes</t>
  </si>
  <si>
    <t>Hiroko</t>
  </si>
  <si>
    <t>IGOR (BARBINOTO)</t>
  </si>
  <si>
    <t>Iracelis</t>
  </si>
  <si>
    <t>Irene Silva</t>
  </si>
  <si>
    <t xml:space="preserve">Jade </t>
  </si>
  <si>
    <t>Jaqueline Camara</t>
  </si>
  <si>
    <t>Jennifer Fisio</t>
  </si>
  <si>
    <t>Jessika Bressan</t>
  </si>
  <si>
    <t>Jhoni Neves</t>
  </si>
  <si>
    <t>Joana Angélica</t>
  </si>
  <si>
    <t>Joao Carlos Pref</t>
  </si>
  <si>
    <t>João Carlos Mathieu</t>
  </si>
  <si>
    <t>João Serrano</t>
  </si>
  <si>
    <t>Joaquim/Alaide</t>
  </si>
  <si>
    <t>Jorge Hurst</t>
  </si>
  <si>
    <t>José Reginaldo</t>
  </si>
  <si>
    <t>Juliana Amorin da Costa Barbosa</t>
  </si>
  <si>
    <t>JUNINHO IGREJA</t>
  </si>
  <si>
    <t>Léo PRF</t>
  </si>
  <si>
    <t>Léo Academia</t>
  </si>
  <si>
    <t>Léo Compadre</t>
  </si>
  <si>
    <t xml:space="preserve">Larissa Assumpção </t>
  </si>
  <si>
    <t>Lidiane Vianna</t>
  </si>
  <si>
    <t>Lucca</t>
  </si>
  <si>
    <t>Luis Antonio Lara</t>
  </si>
  <si>
    <t>Kamilla</t>
  </si>
  <si>
    <t>Mabel IR + MEI</t>
  </si>
  <si>
    <t>Magno Viana</t>
  </si>
  <si>
    <t>Marcia Chiara</t>
  </si>
  <si>
    <t>Marcia Akemi</t>
  </si>
  <si>
    <t>Marcio Grigião</t>
  </si>
  <si>
    <t>Marco Aurelio Conti</t>
  </si>
  <si>
    <t>Marcos Vinicius</t>
  </si>
  <si>
    <t>Maria Alaide</t>
  </si>
  <si>
    <t>Maria Aparecida (Cida Ubatuba)</t>
  </si>
  <si>
    <t>Maria Izabel</t>
  </si>
  <si>
    <t>Maria Zilda</t>
  </si>
  <si>
    <t>Maria Magna</t>
  </si>
  <si>
    <t>Marilange</t>
  </si>
  <si>
    <t>Marilia Pacini</t>
  </si>
  <si>
    <t>Mariza</t>
  </si>
  <si>
    <t>Miguel Pagno</t>
  </si>
  <si>
    <t>Milton/Cileia</t>
  </si>
  <si>
    <t>Monica 150,00</t>
  </si>
  <si>
    <t>Nathali (dentista)</t>
  </si>
  <si>
    <t>Ney</t>
  </si>
  <si>
    <t>Nestor</t>
  </si>
  <si>
    <t>Nilza</t>
  </si>
  <si>
    <t>Onildo</t>
  </si>
  <si>
    <t>Osiel</t>
  </si>
  <si>
    <t>Priscila Rita</t>
  </si>
  <si>
    <t>Pamela Meirelles</t>
  </si>
  <si>
    <t>MEI REGULARIZAÇÃO E BAIXA</t>
  </si>
  <si>
    <t xml:space="preserve">Patricia Fatima </t>
  </si>
  <si>
    <t>Patricia Gibrail</t>
  </si>
  <si>
    <t>Patricia Hiromi</t>
  </si>
  <si>
    <t xml:space="preserve">Patricia Vitoriano </t>
  </si>
  <si>
    <t>Paulo Romero</t>
  </si>
  <si>
    <t>Paulo Sergio</t>
  </si>
  <si>
    <t>Paulo Teteco</t>
  </si>
  <si>
    <t>Pedro Rayane</t>
  </si>
  <si>
    <t>Rafael goulart</t>
  </si>
  <si>
    <t>Rayane</t>
  </si>
  <si>
    <t>Reiko 400,00</t>
  </si>
  <si>
    <t>Ricardo Barros</t>
  </si>
  <si>
    <t>Ricardo Guerreiro</t>
  </si>
  <si>
    <t>Rinald 350,00</t>
  </si>
  <si>
    <t>Risoleta</t>
  </si>
  <si>
    <t>Roberta Fabricante</t>
  </si>
  <si>
    <t>Rodrigo Morial</t>
  </si>
  <si>
    <t>Rosali</t>
  </si>
  <si>
    <t>Rosemaira</t>
  </si>
  <si>
    <t>Roselene</t>
  </si>
  <si>
    <t>Ruan Marcelino</t>
  </si>
  <si>
    <t>Rubian</t>
  </si>
  <si>
    <t>Serlenis Prefeitura</t>
  </si>
  <si>
    <t>Sandra</t>
  </si>
  <si>
    <t>Selio</t>
  </si>
  <si>
    <t xml:space="preserve">Silvana Menda </t>
  </si>
  <si>
    <t>Suellen</t>
  </si>
  <si>
    <t>Tales</t>
  </si>
  <si>
    <t>Tatiana</t>
  </si>
  <si>
    <t>Vanessa Manacá 300,00</t>
  </si>
  <si>
    <t>ABATER</t>
  </si>
  <si>
    <t>Vanessa Victor</t>
  </si>
  <si>
    <t>Vasni 550,00</t>
  </si>
  <si>
    <t>Vera Arruda</t>
  </si>
  <si>
    <t>Victoria Soares de Queiroz</t>
  </si>
  <si>
    <t>Vitor Jose Gomes</t>
  </si>
  <si>
    <t>Wharla</t>
  </si>
  <si>
    <t>Walter Victoriano</t>
  </si>
  <si>
    <t xml:space="preserve">Walter </t>
  </si>
  <si>
    <t>Washingotn</t>
  </si>
  <si>
    <t>Wellington Capelleto</t>
  </si>
  <si>
    <t>Willy Phelippe</t>
  </si>
  <si>
    <t>YOSHINORE SETO</t>
  </si>
  <si>
    <t>YURI</t>
  </si>
  <si>
    <t>Rodrigo Lopes</t>
  </si>
  <si>
    <t>ZE Emporio</t>
  </si>
  <si>
    <t>Sergio Garden</t>
  </si>
  <si>
    <t>SANEPRAG ABATIMENTO DE HONORÁRIO PARA A DEDETIZAÇÃO</t>
  </si>
  <si>
    <t>PALNILHA JOJA DÉBITOS</t>
  </si>
  <si>
    <t>EVANDRO  -  HONORÁRIOS EM ATRASO DAS EMPRESAS ARRAZEI NA MAKE</t>
  </si>
  <si>
    <t>ANO 2021</t>
  </si>
  <si>
    <t>VALOR DO HONORÁRIO  R$ 1.000,00</t>
  </si>
  <si>
    <t>MESES</t>
  </si>
  <si>
    <t>TOTAL DÉBITO:  R$ 10.000,00</t>
  </si>
  <si>
    <t>FEV</t>
  </si>
  <si>
    <t>EM ABERTO</t>
  </si>
  <si>
    <t>MARC</t>
  </si>
  <si>
    <t>VALOR DO HONORÁRIO  R$ 1.100,00</t>
  </si>
  <si>
    <t>ABR</t>
  </si>
  <si>
    <t>TOTAL DÉBITO:  R$ 14.300,00</t>
  </si>
  <si>
    <t>MAI</t>
  </si>
  <si>
    <t>JUN</t>
  </si>
  <si>
    <t>JUL</t>
  </si>
  <si>
    <t>AGO</t>
  </si>
  <si>
    <t>SET</t>
  </si>
  <si>
    <t>OUT</t>
  </si>
  <si>
    <t>NOV</t>
  </si>
  <si>
    <t>TOTAL DÉBITO:  R$ 13.300,00</t>
  </si>
  <si>
    <t>MENS ADICIONAL</t>
  </si>
  <si>
    <t>TOTAL EM ABERTO</t>
  </si>
  <si>
    <t>TOTAL DÉBITO:  R$ 4.400,00</t>
  </si>
  <si>
    <t>ANO 2022</t>
  </si>
  <si>
    <t>TOTAL DOS DÉBITOS DE HONORÁRIO</t>
  </si>
  <si>
    <t>AA/</t>
  </si>
  <si>
    <t>ANO 2023</t>
  </si>
  <si>
    <t>ANO 2024</t>
  </si>
  <si>
    <t>ANO 2025</t>
  </si>
  <si>
    <t>ANO 2026</t>
  </si>
  <si>
    <t>Bruno Brasil</t>
  </si>
  <si>
    <t>ok</t>
  </si>
  <si>
    <t xml:space="preserve">Gramado Exclusive </t>
  </si>
  <si>
    <t>EMPRESAS</t>
  </si>
  <si>
    <t>CNPJ</t>
  </si>
  <si>
    <t>VALOR A SER NEGOCIADO</t>
  </si>
  <si>
    <t>Comercio de Madeiras Independencia Eireli</t>
  </si>
  <si>
    <t>23.046.216/0001-93</t>
  </si>
  <si>
    <t>SEM MOVIMENTO</t>
  </si>
  <si>
    <t xml:space="preserve">VALOR A NEGOCIAR COM </t>
  </si>
  <si>
    <t>MOVIMENTO</t>
  </si>
  <si>
    <t>M A de Oliveira Porto</t>
  </si>
  <si>
    <t>23.673.715/0001-00</t>
  </si>
  <si>
    <t>Alcantara &amp; Soares Apoio Nautico Ltda ME</t>
  </si>
  <si>
    <t>12.057.952/0001-20</t>
  </si>
  <si>
    <t>J E Brandão Conte</t>
  </si>
  <si>
    <t>28.375.016/0001-06</t>
  </si>
  <si>
    <t>N4 Soluções Ltda</t>
  </si>
  <si>
    <t>09.582.455/0001-37</t>
  </si>
  <si>
    <t>Trans Orax Transporte &amp; Fretamento Eireli</t>
  </si>
  <si>
    <t>11.825.884/0001-30</t>
  </si>
  <si>
    <t>Igreja Evangélica Assembléia de Deus Ministério</t>
  </si>
  <si>
    <t>40.017.615/0001-45</t>
  </si>
  <si>
    <t>Pescadores Praia Grande</t>
  </si>
  <si>
    <t>Trevo Clube</t>
  </si>
  <si>
    <t>.</t>
  </si>
  <si>
    <t>Marco Antonio da Silva 02160442860</t>
  </si>
  <si>
    <t>Associação Barqueiros da Praia do Sono</t>
  </si>
  <si>
    <t>32.170.853/0001-68</t>
  </si>
  <si>
    <t>45.751.364/0001-41</t>
  </si>
  <si>
    <t xml:space="preserve">Associação de Moradores de Paraty Mirim </t>
  </si>
  <si>
    <t>39.992.433/0001-06</t>
  </si>
  <si>
    <t>Espeto Real Paraty - LTDA</t>
  </si>
  <si>
    <t>JPM Holding LTDA</t>
  </si>
  <si>
    <t xml:space="preserve">Bruno Guedes Imóveis LTDA </t>
  </si>
  <si>
    <t>RL Imóveis LTDA</t>
  </si>
  <si>
    <t>57.743.837/0001-48</t>
  </si>
  <si>
    <t xml:space="preserve">SITUAÇÃO </t>
  </si>
  <si>
    <t>CADASTRAL</t>
  </si>
  <si>
    <t>Ativa</t>
  </si>
  <si>
    <t>03.347.314/0001-53</t>
  </si>
  <si>
    <t xml:space="preserve">acerto 08/07/2026 </t>
  </si>
  <si>
    <t>TOTAL DOS DÉBITOS EM 09/07/2026</t>
  </si>
  <si>
    <t xml:space="preserve"> pago até 30/06/2027</t>
  </si>
  <si>
    <t>PIX DIA 20</t>
  </si>
  <si>
    <t>Carlinhos</t>
  </si>
  <si>
    <t>Patrícia</t>
  </si>
  <si>
    <t>DAS INSS Carlinhos</t>
  </si>
  <si>
    <t>MARÇO</t>
  </si>
  <si>
    <t>ABRIL</t>
  </si>
  <si>
    <t>MAIO</t>
  </si>
  <si>
    <t>JUNHO</t>
  </si>
  <si>
    <t>JULHO</t>
  </si>
  <si>
    <t>Bruno Informática</t>
  </si>
  <si>
    <t xml:space="preserve">Filial Santos e Carvalho </t>
  </si>
  <si>
    <t>10.566.928/0002-72</t>
  </si>
  <si>
    <t xml:space="preserve">Santos &amp; Santos </t>
  </si>
  <si>
    <t>29.758.239/0001-07</t>
  </si>
  <si>
    <t>Casa Hospedaria Paraty 200,00</t>
  </si>
  <si>
    <t>SELTON MATERIAL DE CONSTRUÇÃO LTDA 800,00</t>
  </si>
  <si>
    <t xml:space="preserve">SELVANI SAUDE LTDA </t>
  </si>
  <si>
    <t xml:space="preserve">SEGURO TORO </t>
  </si>
  <si>
    <t>Patrícia parce IR 05/08</t>
  </si>
  <si>
    <t>Carlos Anderson parce IR 04/08</t>
  </si>
  <si>
    <t>Carlos Augusto parce IR 04/08</t>
  </si>
  <si>
    <t>Financiamento Ecosport 21/48</t>
  </si>
  <si>
    <t>Parcelamento Rec. Federal 28/128</t>
  </si>
  <si>
    <t>Parcelamento Prefeitura Patricia 07/12</t>
  </si>
  <si>
    <t>15/37 225,00</t>
  </si>
  <si>
    <t>ENEL ESCRITORIO 08/2026</t>
  </si>
  <si>
    <t>IPTU Taubate 10/10</t>
  </si>
  <si>
    <t>PAGO EM AGOSTO</t>
  </si>
  <si>
    <t>Maira Filial 2</t>
  </si>
  <si>
    <t>Maira filial 1</t>
  </si>
  <si>
    <t xml:space="preserve">rescisão </t>
  </si>
  <si>
    <t>SETEMBRO/2026</t>
  </si>
  <si>
    <t xml:space="preserve">FÉRIAS </t>
  </si>
  <si>
    <t xml:space="preserve">40% MULTA </t>
  </si>
  <si>
    <t>4X</t>
  </si>
  <si>
    <t>Lina FAXINA</t>
  </si>
  <si>
    <t xml:space="preserve">Pensão </t>
  </si>
  <si>
    <t>salario</t>
  </si>
  <si>
    <t>FGTS</t>
  </si>
  <si>
    <t>resta</t>
  </si>
  <si>
    <t>CRISANE</t>
  </si>
  <si>
    <t>BRUNO INFORMATICA</t>
  </si>
  <si>
    <t>Condominio Gramado</t>
  </si>
  <si>
    <t>Carlos Anderson parce IR 03/08</t>
  </si>
  <si>
    <t>Carlos Augusto parce IR 03/08</t>
  </si>
  <si>
    <t>PRADELA</t>
  </si>
  <si>
    <t>EM</t>
  </si>
  <si>
    <t>ALT</t>
  </si>
  <si>
    <t>AGUAS</t>
  </si>
  <si>
    <t>ECONET</t>
  </si>
  <si>
    <t>VIVO</t>
  </si>
  <si>
    <t xml:space="preserve">Sueli laranjeiras 200,00 S/M </t>
  </si>
  <si>
    <t>Carlos Augusto guincho Eco Sport</t>
  </si>
  <si>
    <t>Espeto Real Paraty Ltda 900,00 + 2x 450,00</t>
  </si>
  <si>
    <t>ACERTO 08/2026</t>
  </si>
  <si>
    <t>Rofil 500,00</t>
  </si>
  <si>
    <t>Condominio Ubatuba 08/2026</t>
  </si>
  <si>
    <t>Maria Rita 3X 926,93</t>
  </si>
  <si>
    <t>IPTU Escritório 9/10</t>
  </si>
  <si>
    <t>Alterdata 09/26</t>
  </si>
  <si>
    <t>Curso DP 04/06</t>
  </si>
  <si>
    <t>CURSO REFORMA TRIBUTARIA 04/06</t>
  </si>
  <si>
    <t>oi 09/2026</t>
  </si>
  <si>
    <t>FGTS Vitrina 09/2026</t>
  </si>
  <si>
    <t>Previdencia Vitrina 09/2026</t>
  </si>
  <si>
    <t>DAS Vitrina 09/2026</t>
  </si>
  <si>
    <t>Vitrina - Parc Rec Simpl 11/15</t>
  </si>
  <si>
    <t>Prefeitura Vitrina - Parcela 09/12</t>
  </si>
  <si>
    <t>Carlos Anderson parce IR 05/08</t>
  </si>
  <si>
    <t>Carlos Augusto parce IR 05/08</t>
  </si>
  <si>
    <t>PARCELAMENTO CRUZEIRO DO SUL03/04</t>
  </si>
  <si>
    <t>Condominio Ubatuba 09/2026</t>
  </si>
  <si>
    <t>ANHANGUERA 03/13</t>
  </si>
  <si>
    <t>Terreno Reserva Marupiá 02/52</t>
  </si>
  <si>
    <t>Aquecedro piscina 03/10</t>
  </si>
  <si>
    <t>SABESP - Comerciários 09/26</t>
  </si>
  <si>
    <t>Embracom - Magrao 70/80</t>
  </si>
  <si>
    <t>Embracom - Carlos 34/100</t>
  </si>
  <si>
    <t>Embracom - Patricia 2 34/100</t>
  </si>
  <si>
    <t>Embracom - Carlos 20/90</t>
  </si>
  <si>
    <t>Lukinha Vidro 1.500,00 04689343837</t>
  </si>
  <si>
    <t>UNIMED PATRICIA/CARLOS/GU</t>
  </si>
  <si>
    <t>3150,00+200,00</t>
  </si>
  <si>
    <t>- 670,00= 1.498,00</t>
  </si>
  <si>
    <t>30/09/26 pg</t>
  </si>
  <si>
    <t>Priscila 13° parcelado em 14 semanas parc 01/14</t>
  </si>
  <si>
    <t>Emily 1840,63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</si>
</sst>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_-* #,##0.00_-;\-* #,##0.00_-;_-* &quot;-&quot;??_-;_-@"/>
    <numFmt numFmtId="167" formatCode="[$R$ -416]#,##0.00"/>
    <numFmt numFmtId="168" formatCode="_-* #,##0_-;\-* #,##0_-;_-* &quot;-&quot;??_-;_-@"/>
    <numFmt numFmtId="169" formatCode="_-* #,##0.000_-;\-* #,##0.000_-;_-* &quot;-&quot;??_-;_-@"/>
    <numFmt numFmtId="170" formatCode="_-[$R$-416]\ * #,##0.00_-;\-[$R$-416]\ * #,##0.00_-;_-[$R$-416]\ * &quot;-&quot;??_-;_-@_-"/>
  </numFmts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ED0000"/>
      <name val="Calibri"/>
    </font>
    <font>
      <sz val="11"/>
      <color rgb="FFFF0000"/>
      <name val="Calibri"/>
    </font>
    <font>
      <sz val="10"/>
      <color theme="1"/>
      <name val="Arial"/>
    </font>
    <font>
      <sz val="11"/>
      <color rgb="FF000000"/>
      <name val="Calibri"/>
    </font>
    <font>
      <sz val="11"/>
      <color rgb="FFED0000"/>
      <name val="Calibri"/>
    </font>
    <font>
      <u/>
      <sz val="11"/>
      <color theme="10"/>
      <name val="Calibri"/>
    </font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89">
    <xf numFmtId="0" fontId="0" fillId="0" borderId="0" xfId="0" applyFont="1" applyAlignment="1"/>
    <xf numFmtId="49" fontId="2" fillId="0" borderId="0" xfId="0" applyNumberFormat="1" applyFont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/>
    <xf numFmtId="164" fontId="3" fillId="0" borderId="1" xfId="0" applyNumberFormat="1" applyFont="1" applyBorder="1"/>
    <xf numFmtId="164" fontId="3" fillId="0" borderId="1" xfId="0" applyNumberFormat="1" applyFont="1" applyBorder="1" applyAlignment="1"/>
    <xf numFmtId="167" fontId="3" fillId="0" borderId="0" xfId="0" applyNumberFormat="1" applyFont="1"/>
    <xf numFmtId="165" fontId="3" fillId="0" borderId="1" xfId="0" applyNumberFormat="1" applyFont="1" applyBorder="1" applyAlignment="1"/>
    <xf numFmtId="165" fontId="3" fillId="0" borderId="1" xfId="0" applyNumberFormat="1" applyFont="1" applyBorder="1"/>
    <xf numFmtId="0" fontId="3" fillId="0" borderId="0" xfId="0" applyFont="1"/>
    <xf numFmtId="14" fontId="3" fillId="0" borderId="1" xfId="0" applyNumberFormat="1" applyFont="1" applyBorder="1" applyAlignment="1">
      <alignment horizontal="right"/>
    </xf>
    <xf numFmtId="0" fontId="3" fillId="0" borderId="2" xfId="0" applyFont="1" applyBorder="1"/>
    <xf numFmtId="164" fontId="3" fillId="0" borderId="2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3" fillId="0" borderId="1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164" fontId="3" fillId="0" borderId="3" xfId="0" applyNumberFormat="1" applyFont="1" applyBorder="1"/>
    <xf numFmtId="168" fontId="3" fillId="0" borderId="1" xfId="0" applyNumberFormat="1" applyFont="1" applyBorder="1"/>
    <xf numFmtId="17" fontId="3" fillId="0" borderId="0" xfId="0" applyNumberFormat="1" applyFont="1"/>
    <xf numFmtId="2" fontId="3" fillId="0" borderId="0" xfId="0" applyNumberFormat="1" applyFont="1"/>
    <xf numFmtId="4" fontId="3" fillId="0" borderId="0" xfId="0" applyNumberFormat="1" applyFont="1"/>
    <xf numFmtId="166" fontId="2" fillId="0" borderId="1" xfId="0" applyNumberFormat="1" applyFont="1" applyBorder="1"/>
    <xf numFmtId="166" fontId="3" fillId="0" borderId="4" xfId="0" applyNumberFormat="1" applyFont="1" applyBorder="1"/>
    <xf numFmtId="166" fontId="2" fillId="0" borderId="4" xfId="0" applyNumberFormat="1" applyFont="1" applyBorder="1"/>
    <xf numFmtId="49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1" xfId="0" applyFont="1" applyFill="1" applyBorder="1"/>
    <xf numFmtId="164" fontId="3" fillId="0" borderId="1" xfId="0" applyNumberFormat="1" applyFont="1" applyBorder="1" applyAlignment="1">
      <alignment horizontal="right"/>
    </xf>
    <xf numFmtId="169" fontId="3" fillId="0" borderId="0" xfId="0" applyNumberFormat="1" applyFont="1"/>
    <xf numFmtId="166" fontId="3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0" fontId="3" fillId="0" borderId="6" xfId="0" applyFont="1" applyBorder="1"/>
    <xf numFmtId="166" fontId="3" fillId="0" borderId="6" xfId="0" applyNumberFormat="1" applyFont="1" applyBorder="1"/>
    <xf numFmtId="0" fontId="3" fillId="0" borderId="7" xfId="0" applyFont="1" applyBorder="1"/>
    <xf numFmtId="4" fontId="5" fillId="0" borderId="3" xfId="0" applyNumberFormat="1" applyFont="1" applyBorder="1"/>
    <xf numFmtId="0" fontId="5" fillId="0" borderId="0" xfId="0" applyFont="1"/>
    <xf numFmtId="166" fontId="5" fillId="0" borderId="0" xfId="0" applyNumberFormat="1" applyFont="1"/>
    <xf numFmtId="0" fontId="5" fillId="0" borderId="8" xfId="0" applyFont="1" applyBorder="1"/>
    <xf numFmtId="166" fontId="5" fillId="0" borderId="2" xfId="0" applyNumberFormat="1" applyFont="1" applyBorder="1"/>
    <xf numFmtId="0" fontId="5" fillId="2" borderId="1" xfId="0" applyFont="1" applyFill="1" applyBorder="1"/>
    <xf numFmtId="2" fontId="3" fillId="0" borderId="1" xfId="0" applyNumberFormat="1" applyFont="1" applyBorder="1"/>
    <xf numFmtId="4" fontId="5" fillId="0" borderId="2" xfId="0" applyNumberFormat="1" applyFont="1" applyBorder="1" applyAlignment="1">
      <alignment horizontal="right"/>
    </xf>
    <xf numFmtId="0" fontId="3" fillId="0" borderId="8" xfId="0" applyFont="1" applyBorder="1"/>
    <xf numFmtId="4" fontId="5" fillId="0" borderId="1" xfId="0" applyNumberFormat="1" applyFont="1" applyBorder="1" applyAlignment="1">
      <alignment horizontal="right"/>
    </xf>
    <xf numFmtId="0" fontId="6" fillId="0" borderId="0" xfId="0" applyFont="1"/>
    <xf numFmtId="166" fontId="5" fillId="0" borderId="1" xfId="0" applyNumberFormat="1" applyFont="1" applyBorder="1"/>
    <xf numFmtId="166" fontId="3" fillId="0" borderId="9" xfId="0" applyNumberFormat="1" applyFont="1" applyBorder="1"/>
    <xf numFmtId="166" fontId="3" fillId="0" borderId="10" xfId="0" applyNumberFormat="1" applyFont="1" applyBorder="1"/>
    <xf numFmtId="0" fontId="3" fillId="0" borderId="10" xfId="0" applyFont="1" applyBorder="1"/>
    <xf numFmtId="0" fontId="3" fillId="0" borderId="11" xfId="0" applyFont="1" applyBorder="1"/>
    <xf numFmtId="4" fontId="5" fillId="0" borderId="1" xfId="0" applyNumberFormat="1" applyFont="1" applyBorder="1"/>
    <xf numFmtId="16" fontId="5" fillId="0" borderId="0" xfId="0" applyNumberFormat="1" applyFont="1"/>
    <xf numFmtId="4" fontId="5" fillId="0" borderId="2" xfId="0" applyNumberFormat="1" applyFont="1" applyBorder="1"/>
    <xf numFmtId="166" fontId="5" fillId="0" borderId="3" xfId="0" applyNumberFormat="1" applyFont="1" applyBorder="1"/>
    <xf numFmtId="0" fontId="5" fillId="0" borderId="6" xfId="0" applyFont="1" applyBorder="1"/>
    <xf numFmtId="0" fontId="7" fillId="0" borderId="0" xfId="0" applyFont="1"/>
    <xf numFmtId="0" fontId="8" fillId="2" borderId="1" xfId="0" applyFont="1" applyFill="1" applyBorder="1"/>
    <xf numFmtId="0" fontId="9" fillId="0" borderId="0" xfId="0" applyFont="1"/>
    <xf numFmtId="166" fontId="8" fillId="2" borderId="1" xfId="0" applyNumberFormat="1" applyFont="1" applyFill="1" applyBorder="1"/>
    <xf numFmtId="0" fontId="8" fillId="2" borderId="12" xfId="0" applyFont="1" applyFill="1" applyBorder="1"/>
    <xf numFmtId="166" fontId="3" fillId="0" borderId="1" xfId="0" applyNumberFormat="1" applyFont="1" applyBorder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166" fontId="2" fillId="0" borderId="0" xfId="0" applyNumberFormat="1" applyFont="1"/>
    <xf numFmtId="49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4" fontId="5" fillId="0" borderId="0" xfId="0" applyNumberFormat="1" applyFont="1" applyAlignment="1">
      <alignment horizontal="right"/>
    </xf>
    <xf numFmtId="0" fontId="3" fillId="0" borderId="13" xfId="0" applyFont="1" applyBorder="1"/>
    <xf numFmtId="0" fontId="3" fillId="0" borderId="5" xfId="0" applyFont="1" applyBorder="1"/>
    <xf numFmtId="4" fontId="5" fillId="0" borderId="14" xfId="0" applyNumberFormat="1" applyFont="1" applyBorder="1"/>
    <xf numFmtId="0" fontId="3" fillId="0" borderId="9" xfId="0" applyFont="1" applyBorder="1"/>
    <xf numFmtId="4" fontId="3" fillId="0" borderId="1" xfId="0" applyNumberFormat="1" applyFont="1" applyBorder="1"/>
    <xf numFmtId="0" fontId="3" fillId="0" borderId="4" xfId="0" applyFont="1" applyBorder="1"/>
    <xf numFmtId="0" fontId="3" fillId="0" borderId="15" xfId="0" applyFont="1" applyBorder="1"/>
    <xf numFmtId="0" fontId="3" fillId="0" borderId="16" xfId="0" applyFont="1" applyBorder="1"/>
    <xf numFmtId="164" fontId="3" fillId="0" borderId="0" xfId="0" applyNumberFormat="1" applyFont="1"/>
    <xf numFmtId="164" fontId="5" fillId="0" borderId="0" xfId="0" applyNumberFormat="1" applyFont="1"/>
    <xf numFmtId="17" fontId="3" fillId="0" borderId="4" xfId="0" applyNumberFormat="1" applyFont="1" applyBorder="1"/>
    <xf numFmtId="4" fontId="5" fillId="0" borderId="4" xfId="0" applyNumberFormat="1" applyFont="1" applyBorder="1"/>
    <xf numFmtId="4" fontId="8" fillId="0" borderId="1" xfId="0" applyNumberFormat="1" applyFont="1" applyBorder="1"/>
    <xf numFmtId="166" fontId="8" fillId="0" borderId="1" xfId="0" applyNumberFormat="1" applyFont="1" applyBorder="1"/>
    <xf numFmtId="17" fontId="3" fillId="0" borderId="8" xfId="0" applyNumberFormat="1" applyFont="1" applyBorder="1"/>
    <xf numFmtId="0" fontId="2" fillId="0" borderId="3" xfId="0" applyFont="1" applyBorder="1" applyAlignment="1">
      <alignment horizontal="center"/>
    </xf>
    <xf numFmtId="164" fontId="3" fillId="0" borderId="4" xfId="0" applyNumberFormat="1" applyFont="1" applyBorder="1"/>
    <xf numFmtId="164" fontId="3" fillId="0" borderId="14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17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17" fontId="3" fillId="0" borderId="1" xfId="0" applyNumberFormat="1" applyFont="1" applyBorder="1" applyAlignment="1">
      <alignment horizontal="right"/>
    </xf>
    <xf numFmtId="165" fontId="3" fillId="0" borderId="14" xfId="0" applyNumberFormat="1" applyFont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0" fontId="3" fillId="2" borderId="12" xfId="0" applyFont="1" applyFill="1" applyBorder="1"/>
    <xf numFmtId="166" fontId="3" fillId="2" borderId="12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6" fontId="3" fillId="4" borderId="1" xfId="0" applyNumberFormat="1" applyFont="1" applyFill="1" applyBorder="1"/>
    <xf numFmtId="0" fontId="3" fillId="4" borderId="1" xfId="0" applyFont="1" applyFill="1" applyBorder="1"/>
    <xf numFmtId="14" fontId="3" fillId="0" borderId="4" xfId="0" applyNumberFormat="1" applyFont="1" applyBorder="1"/>
    <xf numFmtId="0" fontId="2" fillId="0" borderId="4" xfId="0" applyFont="1" applyBorder="1" applyAlignment="1">
      <alignment horizontal="center"/>
    </xf>
    <xf numFmtId="165" fontId="3" fillId="0" borderId="0" xfId="0" applyNumberFormat="1" applyFont="1"/>
    <xf numFmtId="164" fontId="3" fillId="0" borderId="4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3" fillId="0" borderId="15" xfId="0" applyNumberFormat="1" applyFont="1" applyBorder="1" applyAlignment="1">
      <alignment horizontal="center"/>
    </xf>
    <xf numFmtId="165" fontId="3" fillId="0" borderId="16" xfId="0" applyNumberFormat="1" applyFont="1" applyBorder="1"/>
    <xf numFmtId="164" fontId="3" fillId="0" borderId="13" xfId="0" applyNumberFormat="1" applyFont="1" applyBorder="1"/>
    <xf numFmtId="165" fontId="3" fillId="0" borderId="16" xfId="0" applyNumberFormat="1" applyFont="1" applyBorder="1" applyAlignment="1">
      <alignment horizontal="center"/>
    </xf>
    <xf numFmtId="164" fontId="3" fillId="0" borderId="9" xfId="0" applyNumberFormat="1" applyFont="1" applyBorder="1"/>
    <xf numFmtId="164" fontId="2" fillId="0" borderId="0" xfId="0" applyNumberFormat="1" applyFont="1"/>
    <xf numFmtId="0" fontId="2" fillId="0" borderId="13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6" xfId="0" applyFont="1" applyBorder="1"/>
    <xf numFmtId="0" fontId="2" fillId="0" borderId="10" xfId="0" applyFont="1" applyBorder="1"/>
    <xf numFmtId="165" fontId="3" fillId="0" borderId="9" xfId="0" applyNumberFormat="1" applyFont="1" applyBorder="1"/>
    <xf numFmtId="8" fontId="3" fillId="0" borderId="9" xfId="0" applyNumberFormat="1" applyFont="1" applyBorder="1"/>
    <xf numFmtId="0" fontId="3" fillId="0" borderId="12" xfId="0" applyFont="1" applyBorder="1"/>
    <xf numFmtId="164" fontId="3" fillId="0" borderId="12" xfId="0" applyNumberFormat="1" applyFont="1" applyBorder="1"/>
    <xf numFmtId="164" fontId="3" fillId="0" borderId="22" xfId="0" applyNumberFormat="1" applyFont="1" applyBorder="1"/>
    <xf numFmtId="166" fontId="11" fillId="0" borderId="3" xfId="0" applyNumberFormat="1" applyFont="1" applyBorder="1"/>
    <xf numFmtId="0" fontId="11" fillId="0" borderId="1" xfId="0" applyFont="1" applyBorder="1"/>
    <xf numFmtId="0" fontId="0" fillId="0" borderId="0" xfId="0" applyFont="1" applyAlignment="1"/>
    <xf numFmtId="0" fontId="0" fillId="0" borderId="0" xfId="0" applyFont="1" applyAlignment="1"/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0" fillId="0" borderId="22" xfId="0" applyFont="1" applyBorder="1" applyAlignment="1"/>
    <xf numFmtId="0" fontId="1" fillId="0" borderId="22" xfId="0" applyFont="1" applyBorder="1" applyAlignment="1"/>
    <xf numFmtId="0" fontId="1" fillId="0" borderId="22" xfId="0" applyFont="1" applyBorder="1" applyAlignment="1">
      <alignment horizontal="right"/>
    </xf>
    <xf numFmtId="0" fontId="0" fillId="0" borderId="22" xfId="0" applyFont="1" applyBorder="1" applyAlignment="1">
      <alignment horizontal="right"/>
    </xf>
    <xf numFmtId="2" fontId="0" fillId="0" borderId="22" xfId="0" applyNumberFormat="1" applyFont="1" applyBorder="1" applyAlignment="1"/>
    <xf numFmtId="0" fontId="1" fillId="0" borderId="0" xfId="0" applyFont="1" applyAlignment="1"/>
    <xf numFmtId="0" fontId="0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3" fillId="0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44" fontId="3" fillId="0" borderId="1" xfId="1" applyFont="1" applyBorder="1"/>
    <xf numFmtId="0" fontId="14" fillId="2" borderId="1" xfId="0" applyFont="1" applyFill="1" applyBorder="1"/>
    <xf numFmtId="0" fontId="0" fillId="0" borderId="0" xfId="0" applyFont="1" applyAlignment="1"/>
    <xf numFmtId="44" fontId="0" fillId="0" borderId="0" xfId="0" applyNumberFormat="1" applyFont="1" applyAlignment="1"/>
    <xf numFmtId="4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170" fontId="0" fillId="0" borderId="0" xfId="0" applyNumberFormat="1" applyFont="1" applyAlignment="1"/>
    <xf numFmtId="43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49" fontId="14" fillId="0" borderId="0" xfId="0" applyNumberFormat="1" applyFont="1"/>
    <xf numFmtId="0" fontId="0" fillId="0" borderId="0" xfId="0" applyFont="1" applyAlignment="1"/>
    <xf numFmtId="49" fontId="2" fillId="0" borderId="0" xfId="0" applyNumberFormat="1" applyFont="1" applyAlignment="1">
      <alignment horizontal="center"/>
    </xf>
    <xf numFmtId="0" fontId="0" fillId="0" borderId="0" xfId="0" applyFont="1" applyAlignment="1"/>
    <xf numFmtId="49" fontId="2" fillId="3" borderId="4" xfId="0" applyNumberFormat="1" applyFont="1" applyFill="1" applyBorder="1" applyAlignment="1">
      <alignment horizontal="center"/>
    </xf>
    <xf numFmtId="0" fontId="10" fillId="0" borderId="15" xfId="0" applyFont="1" applyBorder="1"/>
    <xf numFmtId="0" fontId="10" fillId="0" borderId="16" xfId="0" applyFont="1" applyBorder="1"/>
    <xf numFmtId="49" fontId="2" fillId="0" borderId="4" xfId="0" applyNumberFormat="1" applyFont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topLeftCell="A16" workbookViewId="0">
      <selection activeCell="E23" sqref="E23"/>
    </sheetView>
  </sheetViews>
  <sheetFormatPr defaultColWidth="14.44140625" defaultRowHeight="15" customHeight="1"/>
  <cols>
    <col min="1" max="1" width="13.6640625" customWidth="1"/>
    <col min="2" max="2" width="41.77734375" customWidth="1"/>
    <col min="3" max="3" width="13.5546875" customWidth="1"/>
    <col min="4" max="4" width="18.6640625" customWidth="1"/>
    <col min="5" max="5" width="15.6640625" customWidth="1"/>
    <col min="6" max="6" width="12.109375" customWidth="1"/>
    <col min="7" max="7" width="24.44140625" customWidth="1"/>
    <col min="8" max="8" width="9.33203125" customWidth="1"/>
    <col min="9" max="9" width="9.5546875" customWidth="1"/>
    <col min="10" max="10" width="8.6640625" customWidth="1"/>
  </cols>
  <sheetData>
    <row r="1" spans="1:26" ht="14.25" customHeight="1">
      <c r="B1" s="1" t="s">
        <v>718</v>
      </c>
      <c r="I1" s="142"/>
    </row>
    <row r="2" spans="1:26" ht="14.25" customHeight="1">
      <c r="I2" s="142"/>
    </row>
    <row r="3" spans="1:26" ht="14.25" customHeight="1">
      <c r="A3" s="3" t="s">
        <v>0</v>
      </c>
      <c r="B3" s="3" t="s">
        <v>1</v>
      </c>
      <c r="C3" s="3" t="s">
        <v>2</v>
      </c>
      <c r="D3" s="3" t="s">
        <v>3</v>
      </c>
    </row>
    <row r="4" spans="1:26" ht="14.25" customHeight="1">
      <c r="A4" s="4"/>
      <c r="B4" s="5" t="s">
        <v>4</v>
      </c>
      <c r="C4" s="6">
        <v>118.08</v>
      </c>
      <c r="D4" s="7"/>
      <c r="F4" s="8" t="s">
        <v>717</v>
      </c>
      <c r="G4" s="172">
        <v>2862.97</v>
      </c>
      <c r="H4" s="9"/>
      <c r="L4">
        <v>327.41000000000003</v>
      </c>
      <c r="M4" t="s">
        <v>733</v>
      </c>
    </row>
    <row r="5" spans="1:26" ht="14.25" customHeight="1">
      <c r="A5" s="4"/>
      <c r="B5" s="2" t="s">
        <v>744</v>
      </c>
      <c r="C5" s="10">
        <v>926.93</v>
      </c>
      <c r="D5" s="11"/>
      <c r="E5" s="12"/>
      <c r="F5" s="8"/>
      <c r="G5" s="172"/>
      <c r="H5" s="9"/>
      <c r="L5" s="172">
        <v>1736.63</v>
      </c>
      <c r="M5" t="s">
        <v>734</v>
      </c>
    </row>
    <row r="6" spans="1:26" ht="14.25" customHeight="1">
      <c r="A6" s="4"/>
      <c r="B6" s="2" t="s">
        <v>773</v>
      </c>
      <c r="C6" s="10">
        <v>1928.28</v>
      </c>
      <c r="D6" s="11"/>
      <c r="E6" s="12"/>
      <c r="F6" s="8" t="s">
        <v>719</v>
      </c>
      <c r="G6" s="172">
        <v>2220.4299999999998</v>
      </c>
      <c r="H6" s="9"/>
    </row>
    <row r="7" spans="1:26" ht="14.25" customHeight="1">
      <c r="A7" s="4"/>
      <c r="B7" s="2" t="s">
        <v>5</v>
      </c>
      <c r="C7" s="10">
        <v>2100</v>
      </c>
      <c r="D7" s="13"/>
      <c r="G7" s="172">
        <f>SUM(G4:G6)</f>
        <v>5083.3999999999996</v>
      </c>
      <c r="H7" s="9"/>
      <c r="I7" s="9"/>
      <c r="L7">
        <v>165.72</v>
      </c>
      <c r="M7" t="s">
        <v>735</v>
      </c>
    </row>
    <row r="8" spans="1:26" ht="14.25" customHeight="1">
      <c r="A8" s="4"/>
      <c r="B8" s="2" t="s">
        <v>6</v>
      </c>
      <c r="C8" s="10">
        <v>3400</v>
      </c>
      <c r="D8" s="14"/>
      <c r="H8" s="9"/>
      <c r="I8" s="9"/>
      <c r="L8">
        <v>110.09</v>
      </c>
      <c r="M8" t="s">
        <v>383</v>
      </c>
    </row>
    <row r="9" spans="1:26" s="181" customFormat="1" ht="14.25" customHeight="1">
      <c r="A9" s="4">
        <v>243</v>
      </c>
      <c r="B9" s="2" t="s">
        <v>772</v>
      </c>
      <c r="C9" s="10">
        <v>972</v>
      </c>
      <c r="D9" s="14"/>
      <c r="H9" s="9"/>
      <c r="I9" s="9"/>
    </row>
    <row r="10" spans="1:26" ht="14.25" customHeight="1">
      <c r="A10" s="4"/>
      <c r="B10" s="2" t="s">
        <v>7</v>
      </c>
      <c r="C10" s="10">
        <v>1100</v>
      </c>
      <c r="D10" s="14"/>
      <c r="F10" t="s">
        <v>720</v>
      </c>
      <c r="G10" s="172">
        <v>1375.6849999999999</v>
      </c>
      <c r="H10" s="9"/>
      <c r="I10" s="9"/>
      <c r="L10">
        <v>249.97</v>
      </c>
      <c r="M10" t="s">
        <v>736</v>
      </c>
    </row>
    <row r="11" spans="1:26" ht="14.25" customHeight="1">
      <c r="A11" s="4"/>
      <c r="B11" s="2" t="s">
        <v>8</v>
      </c>
      <c r="C11" s="10">
        <v>165.72</v>
      </c>
      <c r="D11" s="14"/>
      <c r="F11" s="15"/>
      <c r="H11" s="9"/>
      <c r="I11" s="9"/>
      <c r="L11">
        <v>336.4</v>
      </c>
      <c r="M11" t="s">
        <v>737</v>
      </c>
    </row>
    <row r="12" spans="1:26" ht="14.25" customHeight="1">
      <c r="A12" s="4"/>
      <c r="B12" s="2" t="s">
        <v>746</v>
      </c>
      <c r="C12" s="10">
        <v>1745.63</v>
      </c>
      <c r="D12" s="14"/>
      <c r="G12" s="28">
        <v>3707.71</v>
      </c>
      <c r="H12" s="9"/>
      <c r="I12" s="9"/>
    </row>
    <row r="13" spans="1:26" ht="14.25" customHeight="1">
      <c r="A13" s="4"/>
      <c r="B13" s="2" t="s">
        <v>747</v>
      </c>
      <c r="C13" s="10">
        <v>226.66</v>
      </c>
      <c r="D13" s="10"/>
      <c r="E13" s="15"/>
      <c r="F13" s="15"/>
      <c r="G13" s="15"/>
      <c r="H13" s="9"/>
      <c r="I13" s="9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>
      <c r="A14" s="4"/>
      <c r="B14" s="2" t="s">
        <v>712</v>
      </c>
      <c r="C14" s="10">
        <v>314.74</v>
      </c>
      <c r="D14" s="10"/>
      <c r="F14" t="s">
        <v>721</v>
      </c>
      <c r="G14" s="15">
        <v>926.93</v>
      </c>
      <c r="H14" s="9"/>
      <c r="I14" s="9"/>
      <c r="L14">
        <f>SUM(L4:L13)</f>
        <v>2926.22</v>
      </c>
    </row>
    <row r="15" spans="1:26" ht="14.25" customHeight="1">
      <c r="A15" s="4"/>
      <c r="B15" s="2" t="s">
        <v>745</v>
      </c>
      <c r="C15" s="10">
        <v>110.09</v>
      </c>
      <c r="D15" s="14"/>
      <c r="G15" s="15"/>
      <c r="H15" s="9"/>
      <c r="I15" s="9"/>
    </row>
    <row r="16" spans="1:26" s="170" customFormat="1" ht="14.25" customHeight="1">
      <c r="A16" s="4"/>
      <c r="B16" s="2" t="s">
        <v>748</v>
      </c>
      <c r="C16" s="10">
        <v>200</v>
      </c>
      <c r="D16" s="14"/>
      <c r="G16" s="15"/>
      <c r="H16" s="9"/>
      <c r="I16" s="9"/>
    </row>
    <row r="17" spans="1:10" ht="14.25" customHeight="1">
      <c r="A17" s="4"/>
      <c r="B17" s="2" t="s">
        <v>9</v>
      </c>
      <c r="C17" s="10">
        <v>249.97</v>
      </c>
      <c r="D17" s="14"/>
      <c r="G17" s="15"/>
      <c r="H17" s="9"/>
      <c r="I17" s="9"/>
    </row>
    <row r="18" spans="1:10" ht="14.25" customHeight="1">
      <c r="A18" s="16"/>
      <c r="B18" s="2" t="s">
        <v>749</v>
      </c>
      <c r="C18" s="10">
        <v>13.31</v>
      </c>
      <c r="D18" s="14">
        <v>13.31</v>
      </c>
      <c r="E18" t="s">
        <v>771</v>
      </c>
      <c r="G18" s="15"/>
      <c r="H18" s="9"/>
      <c r="I18" s="9"/>
    </row>
    <row r="19" spans="1:10" ht="14.25" customHeight="1">
      <c r="A19" s="16"/>
      <c r="B19" s="2" t="s">
        <v>750</v>
      </c>
      <c r="C19" s="10"/>
      <c r="D19" s="14"/>
      <c r="G19" s="15"/>
      <c r="H19" s="9"/>
      <c r="I19" s="9"/>
    </row>
    <row r="20" spans="1:10" ht="14.25" customHeight="1">
      <c r="A20" s="16"/>
      <c r="B20" s="2" t="s">
        <v>751</v>
      </c>
      <c r="C20" s="10"/>
      <c r="D20" s="14"/>
      <c r="G20" s="15"/>
      <c r="H20" s="9"/>
      <c r="I20" s="9"/>
      <c r="J20" s="9"/>
    </row>
    <row r="21" spans="1:10" ht="14.25" customHeight="1">
      <c r="A21" s="16"/>
      <c r="B21" s="2" t="s">
        <v>752</v>
      </c>
      <c r="C21" s="10"/>
      <c r="D21" s="14"/>
      <c r="G21" s="15"/>
      <c r="H21" s="9"/>
      <c r="I21" s="9"/>
    </row>
    <row r="22" spans="1:10" ht="14.25" customHeight="1">
      <c r="A22" s="16"/>
      <c r="B22" s="2" t="s">
        <v>768</v>
      </c>
      <c r="C22" s="10">
        <v>1660.89</v>
      </c>
      <c r="D22" s="10"/>
      <c r="H22" s="9"/>
      <c r="I22" s="9"/>
    </row>
    <row r="23" spans="1:10" s="165" customFormat="1" ht="14.25" customHeight="1">
      <c r="A23" s="16"/>
      <c r="B23" s="2" t="s">
        <v>690</v>
      </c>
      <c r="C23" s="10"/>
      <c r="D23" s="10"/>
      <c r="H23" s="9"/>
      <c r="I23" s="9"/>
    </row>
    <row r="24" spans="1:10" ht="14.25" customHeight="1">
      <c r="A24" s="16"/>
      <c r="B24" s="2" t="s">
        <v>10</v>
      </c>
      <c r="C24" s="10">
        <v>336.4</v>
      </c>
      <c r="D24" s="10"/>
      <c r="H24" s="9"/>
      <c r="I24" s="9"/>
    </row>
    <row r="25" spans="1:10" ht="14.25" customHeight="1">
      <c r="A25" s="16"/>
      <c r="B25" s="2" t="s">
        <v>696</v>
      </c>
      <c r="C25" s="10">
        <v>600</v>
      </c>
      <c r="D25" s="10"/>
      <c r="H25" s="9"/>
      <c r="I25" s="9"/>
    </row>
    <row r="26" spans="1:10" ht="14.25" customHeight="1">
      <c r="A26" s="16"/>
      <c r="B26" s="2"/>
      <c r="C26" s="10"/>
      <c r="D26" s="24"/>
      <c r="H26" s="9"/>
      <c r="I26" s="9"/>
    </row>
    <row r="27" spans="1:10" ht="14.25" customHeight="1">
      <c r="A27" s="16"/>
      <c r="B27" s="2" t="s">
        <v>689</v>
      </c>
      <c r="C27" s="98">
        <v>1000</v>
      </c>
      <c r="D27" s="144"/>
      <c r="E27" s="143"/>
      <c r="H27" s="9"/>
      <c r="I27" s="9"/>
    </row>
    <row r="28" spans="1:10" ht="14.25" customHeight="1">
      <c r="A28" s="4"/>
      <c r="B28" s="2" t="s">
        <v>688</v>
      </c>
      <c r="C28" s="10">
        <v>1000</v>
      </c>
      <c r="D28" s="110"/>
      <c r="H28" s="15"/>
      <c r="I28" s="9"/>
    </row>
    <row r="29" spans="1:10" ht="14.25" customHeight="1">
      <c r="A29" s="4"/>
      <c r="B29" s="2"/>
      <c r="C29" s="10"/>
      <c r="D29" s="14"/>
      <c r="H29" s="9"/>
      <c r="I29" s="9"/>
    </row>
    <row r="30" spans="1:10" ht="14.25" customHeight="1">
      <c r="A30" s="4"/>
      <c r="B30" s="2"/>
      <c r="C30" s="10"/>
      <c r="D30" s="10"/>
      <c r="H30" s="9"/>
      <c r="I30" s="9"/>
    </row>
    <row r="31" spans="1:10" ht="14.25" customHeight="1">
      <c r="A31" s="4"/>
      <c r="B31" s="2"/>
      <c r="C31" s="10"/>
      <c r="D31" s="10"/>
      <c r="H31" s="9"/>
      <c r="I31" s="9"/>
    </row>
    <row r="32" spans="1:10" ht="14.25" customHeight="1">
      <c r="A32" s="4"/>
      <c r="B32" s="2"/>
      <c r="C32" s="10"/>
      <c r="D32" s="10"/>
      <c r="H32" s="9"/>
      <c r="I32" s="9"/>
    </row>
    <row r="33" spans="1:15" ht="14.25" customHeight="1">
      <c r="A33" s="4"/>
      <c r="B33" s="17"/>
      <c r="C33" s="18"/>
      <c r="D33" s="14"/>
      <c r="H33" s="9"/>
      <c r="I33" s="9"/>
    </row>
    <row r="34" spans="1:15" ht="14.25" customHeight="1">
      <c r="A34" s="4"/>
      <c r="B34" s="2"/>
      <c r="C34" s="10"/>
      <c r="D34" s="14"/>
      <c r="H34" s="9"/>
      <c r="I34" s="9"/>
    </row>
    <row r="35" spans="1:15" ht="14.25" customHeight="1">
      <c r="A35" s="4"/>
      <c r="B35" s="2" t="s">
        <v>753</v>
      </c>
      <c r="C35" s="10">
        <v>575.91</v>
      </c>
      <c r="D35" s="14"/>
      <c r="H35" s="9"/>
      <c r="I35" s="9"/>
    </row>
    <row r="36" spans="1:15" ht="14.25" customHeight="1">
      <c r="A36" s="4"/>
      <c r="B36" s="146" t="s">
        <v>754</v>
      </c>
      <c r="C36" s="10">
        <v>160.6</v>
      </c>
      <c r="D36" s="14"/>
      <c r="H36" s="9"/>
      <c r="I36" s="9"/>
    </row>
    <row r="37" spans="1:15" ht="14.25" customHeight="1">
      <c r="A37" s="4"/>
      <c r="B37" s="2"/>
      <c r="C37" s="10"/>
      <c r="D37" s="14"/>
      <c r="H37" s="9"/>
      <c r="I37" s="9"/>
    </row>
    <row r="38" spans="1:15" ht="14.25" customHeight="1">
      <c r="A38" s="4"/>
      <c r="B38" s="2" t="s">
        <v>11</v>
      </c>
      <c r="C38" s="10"/>
      <c r="D38" s="14"/>
      <c r="H38" s="9"/>
      <c r="I38" s="9"/>
    </row>
    <row r="39" spans="1:15" ht="14.25" customHeight="1">
      <c r="A39" s="4"/>
      <c r="B39" s="2" t="s">
        <v>12</v>
      </c>
      <c r="C39" s="10"/>
      <c r="D39" s="14"/>
      <c r="H39" s="9"/>
      <c r="I39" s="9"/>
    </row>
    <row r="40" spans="1:15" ht="14.25" customHeight="1">
      <c r="A40" s="4"/>
      <c r="B40" s="2" t="s">
        <v>13</v>
      </c>
      <c r="C40" s="10"/>
      <c r="D40" s="14"/>
      <c r="H40" s="9"/>
      <c r="I40" s="9"/>
    </row>
    <row r="41" spans="1:15" ht="14.25" customHeight="1">
      <c r="A41" s="4"/>
      <c r="B41" s="2"/>
      <c r="C41" s="10"/>
      <c r="D41" s="14"/>
      <c r="H41" s="9"/>
      <c r="I41" s="9"/>
    </row>
    <row r="42" spans="1:15" ht="14.25" customHeight="1">
      <c r="A42" s="2"/>
      <c r="B42" s="3" t="s">
        <v>14</v>
      </c>
      <c r="C42" s="19">
        <f>SUM(C4:C41)</f>
        <v>18905.209999999995</v>
      </c>
      <c r="D42" s="20">
        <f>SUM(D4:D41)</f>
        <v>13.31</v>
      </c>
      <c r="G42" s="15"/>
      <c r="H42" s="9"/>
      <c r="I42" s="9"/>
    </row>
    <row r="43" spans="1:15" ht="14.25" customHeight="1">
      <c r="A43" s="2"/>
      <c r="B43" s="3" t="s">
        <v>15</v>
      </c>
      <c r="C43" s="21"/>
      <c r="D43" s="14"/>
      <c r="G43" s="15"/>
      <c r="H43" s="9"/>
      <c r="I43" s="9"/>
    </row>
    <row r="44" spans="1:15" ht="14.25" customHeight="1">
      <c r="A44" s="2"/>
      <c r="B44" s="2"/>
      <c r="C44" s="14"/>
      <c r="D44" s="10"/>
      <c r="G44" s="15"/>
      <c r="H44" s="9"/>
      <c r="I44" s="9"/>
    </row>
    <row r="45" spans="1:15" ht="14.25" customHeight="1">
      <c r="A45" s="2"/>
      <c r="B45" s="2"/>
      <c r="C45" s="10"/>
      <c r="D45" s="10"/>
      <c r="H45" s="9"/>
    </row>
    <row r="46" spans="1:15" ht="14.25" customHeight="1">
      <c r="A46" s="22"/>
      <c r="B46" s="22" t="s">
        <v>728</v>
      </c>
      <c r="C46" s="23"/>
      <c r="D46" s="24"/>
      <c r="H46" s="9"/>
    </row>
    <row r="47" spans="1:15" ht="14.25" customHeight="1">
      <c r="A47" s="2"/>
      <c r="B47" s="2"/>
      <c r="C47" s="14"/>
      <c r="D47" s="10"/>
    </row>
    <row r="48" spans="1:15" ht="14.25" customHeight="1">
      <c r="A48" s="2"/>
      <c r="B48" s="2"/>
      <c r="C48" s="14"/>
      <c r="D48" s="10"/>
      <c r="O48">
        <f>Q48</f>
        <v>0</v>
      </c>
    </row>
    <row r="49" spans="1:4" ht="14.25" customHeight="1">
      <c r="A49" s="2"/>
      <c r="B49" s="2"/>
      <c r="C49" s="14"/>
      <c r="D49" s="10"/>
    </row>
    <row r="50" spans="1:4" ht="14.25" customHeight="1">
      <c r="A50" s="2"/>
      <c r="B50" s="2"/>
      <c r="C50" s="14"/>
      <c r="D50" s="10"/>
    </row>
    <row r="51" spans="1:4" s="164" customFormat="1" ht="14.25" customHeight="1">
      <c r="A51" s="2"/>
      <c r="B51" s="2"/>
      <c r="C51" s="14"/>
      <c r="D51" s="10"/>
    </row>
    <row r="52" spans="1:4" ht="14.25" customHeight="1">
      <c r="A52" s="2"/>
      <c r="B52" s="2" t="s">
        <v>16</v>
      </c>
      <c r="C52" s="10">
        <v>185.36</v>
      </c>
      <c r="D52" s="10"/>
    </row>
    <row r="53" spans="1:4" ht="14.25" customHeight="1">
      <c r="A53" s="2"/>
      <c r="B53" s="2" t="s">
        <v>17</v>
      </c>
      <c r="C53" s="10">
        <v>85.71</v>
      </c>
      <c r="D53" s="10"/>
    </row>
    <row r="54" spans="1:4" ht="14.25" customHeight="1">
      <c r="A54" s="2"/>
      <c r="B54" s="2"/>
      <c r="C54" s="14"/>
      <c r="D54" s="10"/>
    </row>
    <row r="55" spans="1:4" ht="14.25" customHeight="1">
      <c r="A55" s="2"/>
      <c r="B55" s="2"/>
      <c r="C55" s="14"/>
      <c r="D55" s="10"/>
    </row>
    <row r="56" spans="1:4" ht="14.25" customHeight="1">
      <c r="A56" s="2"/>
      <c r="B56" s="2"/>
      <c r="C56" s="14"/>
      <c r="D56" s="10"/>
    </row>
    <row r="57" spans="1:4" ht="14.25" customHeight="1">
      <c r="A57" s="2"/>
      <c r="B57" s="2"/>
      <c r="C57" s="14"/>
      <c r="D57" s="10"/>
    </row>
    <row r="58" spans="1:4" ht="14.25" customHeight="1">
      <c r="A58" s="2"/>
      <c r="B58" s="2"/>
      <c r="C58" s="14"/>
      <c r="D58" s="10"/>
    </row>
    <row r="59" spans="1:4" ht="14.25" customHeight="1">
      <c r="A59" s="2"/>
      <c r="B59" s="2"/>
      <c r="C59" s="14"/>
      <c r="D59" s="10"/>
    </row>
    <row r="60" spans="1:4" ht="14.25" customHeight="1">
      <c r="A60" s="2"/>
      <c r="B60" s="2"/>
      <c r="C60" s="14"/>
      <c r="D60" s="10"/>
    </row>
    <row r="61" spans="1:4" ht="14.25" customHeight="1">
      <c r="A61" s="2"/>
      <c r="B61" s="2"/>
      <c r="C61" s="14"/>
      <c r="D61" s="10"/>
    </row>
    <row r="62" spans="1:4" ht="14.25" customHeight="1">
      <c r="A62" s="2"/>
      <c r="B62" s="2"/>
      <c r="C62" s="14"/>
      <c r="D62" s="10"/>
    </row>
    <row r="63" spans="1:4" ht="14.25" customHeight="1">
      <c r="A63" s="2"/>
      <c r="B63" s="2"/>
      <c r="C63" s="14"/>
      <c r="D63" s="10"/>
    </row>
    <row r="64" spans="1:4" ht="14.25" customHeight="1">
      <c r="A64" s="2"/>
      <c r="B64" s="2"/>
      <c r="C64" s="14"/>
      <c r="D64" s="10"/>
    </row>
    <row r="65" spans="1:5" ht="14.25" customHeight="1">
      <c r="A65" s="2"/>
      <c r="B65" s="2"/>
      <c r="C65" s="14"/>
      <c r="D65" s="10"/>
    </row>
    <row r="66" spans="1:5" ht="14.25" customHeight="1">
      <c r="A66" s="2"/>
      <c r="B66" s="2"/>
      <c r="C66" s="14"/>
      <c r="D66" s="10"/>
    </row>
    <row r="67" spans="1:5" ht="14.25" customHeight="1">
      <c r="A67" s="2"/>
      <c r="B67" s="2"/>
      <c r="C67" s="14"/>
      <c r="D67" s="10"/>
    </row>
    <row r="68" spans="1:5" ht="14.25" customHeight="1">
      <c r="A68" s="2"/>
      <c r="B68" s="2"/>
      <c r="C68" s="14"/>
      <c r="D68" s="10"/>
    </row>
    <row r="69" spans="1:5" ht="14.25" customHeight="1">
      <c r="A69" s="2"/>
      <c r="B69" s="2"/>
      <c r="C69" s="14"/>
      <c r="D69" s="10"/>
    </row>
    <row r="70" spans="1:5" ht="14.25" customHeight="1">
      <c r="A70" s="22"/>
      <c r="B70" s="22"/>
      <c r="C70" s="23"/>
      <c r="D70" s="24"/>
    </row>
    <row r="71" spans="1:5" ht="14.25" customHeight="1">
      <c r="A71" s="2"/>
      <c r="B71" s="2"/>
      <c r="C71" s="14"/>
      <c r="D71" s="10"/>
    </row>
    <row r="72" spans="1:5" ht="14.25" customHeight="1">
      <c r="A72" s="2"/>
      <c r="B72" s="2"/>
      <c r="C72" s="14"/>
      <c r="D72" s="10"/>
    </row>
    <row r="73" spans="1:5" ht="14.25" customHeight="1">
      <c r="A73" s="2"/>
      <c r="B73" s="2"/>
      <c r="C73" s="14"/>
      <c r="D73" s="10"/>
    </row>
    <row r="74" spans="1:5" ht="14.25" customHeight="1">
      <c r="A74" s="2"/>
      <c r="B74" s="2"/>
      <c r="C74" s="14"/>
      <c r="D74" s="10"/>
    </row>
    <row r="75" spans="1:5" ht="14.25" customHeight="1">
      <c r="A75" s="2"/>
      <c r="B75" s="2"/>
      <c r="C75" s="14"/>
      <c r="D75" s="10"/>
    </row>
    <row r="76" spans="1:5" ht="14.25" customHeight="1">
      <c r="A76" s="2"/>
      <c r="B76" s="2"/>
      <c r="C76" s="14"/>
      <c r="D76" s="10"/>
    </row>
    <row r="77" spans="1:5" ht="14.25" customHeight="1">
      <c r="A77" s="2"/>
      <c r="B77" s="2"/>
      <c r="C77" s="14"/>
      <c r="D77" s="10"/>
    </row>
    <row r="78" spans="1:5" ht="14.25" customHeight="1">
      <c r="A78" s="2"/>
      <c r="B78" s="2"/>
      <c r="C78" s="20">
        <f>SUM(C42:C77)</f>
        <v>19176.279999999995</v>
      </c>
      <c r="D78" s="19"/>
      <c r="E78" s="175">
        <f>C78-D78</f>
        <v>19176.279999999995</v>
      </c>
    </row>
    <row r="79" spans="1:5" ht="14.25" customHeight="1"/>
    <row r="80" spans="1: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topLeftCell="A34" workbookViewId="0">
      <selection activeCell="G23" sqref="G23"/>
    </sheetView>
  </sheetViews>
  <sheetFormatPr defaultColWidth="14.44140625" defaultRowHeight="15" customHeight="1"/>
  <cols>
    <col min="1" max="1" width="21.109375" customWidth="1"/>
    <col min="2" max="2" width="35.77734375" customWidth="1"/>
    <col min="3" max="4" width="10.6640625" customWidth="1"/>
    <col min="5" max="5" width="12.5546875" customWidth="1"/>
    <col min="6" max="6" width="8.6640625" customWidth="1"/>
    <col min="13" max="13" width="26.109375" customWidth="1"/>
  </cols>
  <sheetData>
    <row r="1" spans="1:26" ht="14.25" customHeight="1">
      <c r="B1" s="1" t="s">
        <v>18</v>
      </c>
    </row>
    <row r="2" spans="1:26" ht="14.25" customHeight="1"/>
    <row r="3" spans="1:26" ht="14.25" customHeight="1">
      <c r="A3" s="3" t="s">
        <v>0</v>
      </c>
      <c r="B3" s="3" t="s">
        <v>19</v>
      </c>
      <c r="C3" s="3" t="s">
        <v>2</v>
      </c>
      <c r="D3" s="3" t="s">
        <v>3</v>
      </c>
    </row>
    <row r="4" spans="1:26" ht="14.25" customHeight="1">
      <c r="A4" s="4"/>
      <c r="B4" s="2" t="s">
        <v>20</v>
      </c>
      <c r="C4" s="21">
        <v>109.9</v>
      </c>
      <c r="D4" s="21"/>
    </row>
    <row r="5" spans="1:26" ht="14.25" customHeight="1">
      <c r="A5" s="4"/>
      <c r="B5" s="2" t="s">
        <v>21</v>
      </c>
      <c r="C5" s="21">
        <v>90</v>
      </c>
      <c r="D5" s="21"/>
    </row>
    <row r="6" spans="1:26" ht="14.25" customHeight="1">
      <c r="A6" s="2"/>
      <c r="B6" s="2" t="s">
        <v>713</v>
      </c>
      <c r="C6" s="21"/>
      <c r="D6" s="21"/>
    </row>
    <row r="7" spans="1:26" ht="14.25" customHeight="1">
      <c r="A7" s="2">
        <v>25</v>
      </c>
      <c r="B7" s="2" t="s">
        <v>23</v>
      </c>
      <c r="C7" s="21"/>
      <c r="D7" s="21"/>
    </row>
    <row r="8" spans="1:26" ht="14.25" customHeight="1">
      <c r="A8" s="2"/>
      <c r="B8" s="2" t="s">
        <v>24</v>
      </c>
      <c r="C8" s="21">
        <v>0</v>
      </c>
      <c r="D8" s="21">
        <v>0</v>
      </c>
      <c r="E8" t="s">
        <v>714</v>
      </c>
    </row>
    <row r="9" spans="1:26" ht="14.25" customHeight="1">
      <c r="A9" s="4"/>
      <c r="B9" s="2" t="s">
        <v>763</v>
      </c>
      <c r="C9" s="21">
        <v>1428.69</v>
      </c>
      <c r="D9" s="21"/>
    </row>
    <row r="10" spans="1:26" ht="14.25" customHeight="1">
      <c r="A10" s="4"/>
      <c r="B10" s="2" t="s">
        <v>764</v>
      </c>
      <c r="C10" s="21">
        <v>386.52</v>
      </c>
      <c r="D10" s="21"/>
    </row>
    <row r="11" spans="1:26" ht="14.25" customHeight="1">
      <c r="A11" s="4"/>
      <c r="B11" s="2" t="s">
        <v>765</v>
      </c>
      <c r="C11" s="21">
        <v>546.24</v>
      </c>
      <c r="D11" s="21"/>
    </row>
    <row r="12" spans="1:26" ht="14.25" customHeight="1">
      <c r="A12" s="4"/>
      <c r="B12" s="2" t="s">
        <v>766</v>
      </c>
      <c r="C12" s="21">
        <v>383.91</v>
      </c>
      <c r="D12" s="21"/>
    </row>
    <row r="13" spans="1:26" ht="14.25" customHeight="1">
      <c r="A13" s="4"/>
      <c r="B13" s="2" t="s">
        <v>767</v>
      </c>
      <c r="C13" s="21">
        <v>1500</v>
      </c>
      <c r="D13" s="21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>
      <c r="A14" s="4"/>
      <c r="B14" s="2" t="s">
        <v>708</v>
      </c>
      <c r="C14" s="21">
        <v>1552.37</v>
      </c>
      <c r="D14" s="21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>
      <c r="A15" s="4"/>
      <c r="B15" s="2" t="s">
        <v>25</v>
      </c>
      <c r="C15" s="21">
        <v>200</v>
      </c>
      <c r="D15" s="21"/>
    </row>
    <row r="16" spans="1:26" ht="14.25" customHeight="1">
      <c r="A16" s="4"/>
      <c r="B16" s="2" t="s">
        <v>709</v>
      </c>
      <c r="C16" s="21">
        <v>128.6</v>
      </c>
      <c r="D16" s="21"/>
    </row>
    <row r="17" spans="1:26" ht="14.25" customHeight="1">
      <c r="A17" s="25">
        <v>15</v>
      </c>
      <c r="B17" s="2" t="s">
        <v>26</v>
      </c>
      <c r="C17" s="21">
        <v>363.1</v>
      </c>
      <c r="D17" s="21"/>
    </row>
    <row r="18" spans="1:26" ht="14.25" customHeight="1">
      <c r="A18" s="2"/>
      <c r="B18" s="2" t="s">
        <v>762</v>
      </c>
      <c r="C18" s="21"/>
      <c r="D18" s="21"/>
      <c r="E18" s="15"/>
      <c r="F18" s="26"/>
    </row>
    <row r="19" spans="1:26" ht="14.25" customHeight="1">
      <c r="A19" s="2"/>
      <c r="B19" s="2" t="s">
        <v>710</v>
      </c>
      <c r="C19" s="21">
        <v>269.16000000000003</v>
      </c>
      <c r="D19" s="21"/>
      <c r="E19" s="15"/>
      <c r="F19" s="26"/>
    </row>
    <row r="20" spans="1:26" ht="14.25" customHeight="1">
      <c r="A20" s="2"/>
      <c r="B20" s="2" t="s">
        <v>722</v>
      </c>
      <c r="C20" s="21">
        <v>640</v>
      </c>
      <c r="D20" s="21"/>
    </row>
    <row r="21" spans="1:26" ht="14.25" customHeight="1">
      <c r="A21" s="2"/>
      <c r="B21" s="2" t="s">
        <v>27</v>
      </c>
      <c r="C21" s="21">
        <v>230</v>
      </c>
      <c r="D21" s="21"/>
      <c r="F21" s="15"/>
    </row>
    <row r="22" spans="1:26" ht="14.25" customHeight="1">
      <c r="A22" s="2"/>
      <c r="B22" s="2" t="s">
        <v>28</v>
      </c>
      <c r="C22" s="21">
        <v>192.6</v>
      </c>
      <c r="D22" s="21"/>
      <c r="E22" s="27"/>
    </row>
    <row r="23" spans="1:26" ht="14.25" customHeight="1">
      <c r="A23" s="2"/>
      <c r="B23" s="2" t="s">
        <v>29</v>
      </c>
      <c r="C23" s="21">
        <v>293.52999999999997</v>
      </c>
      <c r="D23" s="21"/>
    </row>
    <row r="24" spans="1:26" s="164" customFormat="1" ht="14.25" customHeight="1">
      <c r="A24" s="2"/>
      <c r="B24" s="2" t="s">
        <v>704</v>
      </c>
      <c r="C24" s="21">
        <v>433.12</v>
      </c>
      <c r="D24" s="21"/>
    </row>
    <row r="25" spans="1:26" s="164" customFormat="1" ht="14.25" customHeight="1">
      <c r="A25" s="2"/>
      <c r="B25" s="2" t="s">
        <v>739</v>
      </c>
      <c r="C25" s="21">
        <v>1250</v>
      </c>
      <c r="D25" s="21"/>
    </row>
    <row r="26" spans="1:26" s="166" customFormat="1" ht="14.25" customHeight="1">
      <c r="A26" s="2"/>
      <c r="B26" s="2" t="s">
        <v>761</v>
      </c>
      <c r="C26" s="21">
        <v>850</v>
      </c>
      <c r="D26" s="21"/>
    </row>
    <row r="27" spans="1:26" ht="14.25" customHeight="1">
      <c r="A27" s="2"/>
      <c r="B27" s="2" t="s">
        <v>30</v>
      </c>
      <c r="C27" s="21">
        <v>960</v>
      </c>
      <c r="D27" s="21"/>
      <c r="E27" s="15"/>
    </row>
    <row r="28" spans="1:26" ht="14.25" customHeight="1">
      <c r="A28" s="2"/>
      <c r="B28" s="2" t="s">
        <v>31</v>
      </c>
      <c r="C28" s="21">
        <v>1100</v>
      </c>
      <c r="D28" s="21"/>
      <c r="E28" s="28"/>
    </row>
    <row r="29" spans="1:26" ht="14.25" customHeight="1">
      <c r="A29" s="2"/>
      <c r="B29" s="2" t="s">
        <v>31</v>
      </c>
      <c r="C29" s="21">
        <v>550</v>
      </c>
      <c r="D29" s="21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2"/>
      <c r="B30" s="2" t="s">
        <v>760</v>
      </c>
      <c r="C30" s="21">
        <v>2222.19</v>
      </c>
      <c r="D30" s="21"/>
      <c r="E30" s="15"/>
      <c r="F30" s="15"/>
      <c r="G30" s="15" t="s">
        <v>32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2"/>
      <c r="B31" s="2" t="s">
        <v>755</v>
      </c>
      <c r="C31" s="21">
        <v>408.43</v>
      </c>
      <c r="D31" s="21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2"/>
      <c r="B32" s="2" t="s">
        <v>705</v>
      </c>
      <c r="C32" s="21"/>
      <c r="D32" s="21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2"/>
      <c r="B33" s="2" t="s">
        <v>756</v>
      </c>
      <c r="C33" s="21"/>
      <c r="D33" s="21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s="178" customFormat="1" ht="14.25" customHeight="1">
      <c r="A34" s="2"/>
      <c r="B34" s="2" t="s">
        <v>759</v>
      </c>
      <c r="C34" s="21">
        <v>448.32</v>
      </c>
      <c r="D34" s="2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s="174" customFormat="1" ht="14.25" customHeight="1">
      <c r="A35" s="2"/>
      <c r="B35" s="2" t="s">
        <v>729</v>
      </c>
      <c r="C35" s="21">
        <v>186.09</v>
      </c>
      <c r="D35" s="21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s="148" customFormat="1" ht="14.25" customHeight="1">
      <c r="A36" s="2"/>
      <c r="B36" s="2" t="s">
        <v>645</v>
      </c>
      <c r="C36" s="21">
        <v>1132.26</v>
      </c>
      <c r="D36" s="21"/>
      <c r="E36" s="15"/>
      <c r="F36" s="15"/>
      <c r="G36" s="28">
        <v>17835.310000000001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2"/>
      <c r="B37" s="3" t="s">
        <v>14</v>
      </c>
      <c r="C37" s="29">
        <f>SUM(C4:C36)</f>
        <v>17855.030000000002</v>
      </c>
      <c r="D37" s="29"/>
      <c r="G37" s="172">
        <v>18064.18</v>
      </c>
      <c r="M37" s="15"/>
    </row>
    <row r="38" spans="1:26" ht="14.25" customHeight="1">
      <c r="A38" s="2"/>
      <c r="B38" s="3" t="s">
        <v>33</v>
      </c>
      <c r="C38" s="21"/>
      <c r="D38" s="21"/>
      <c r="G38" s="172">
        <v>12000</v>
      </c>
      <c r="M38" s="27"/>
    </row>
    <row r="39" spans="1:26" ht="14.25" customHeight="1">
      <c r="A39" s="2"/>
      <c r="B39" s="2" t="s">
        <v>743</v>
      </c>
      <c r="C39" s="21">
        <v>1100</v>
      </c>
      <c r="D39" s="21"/>
      <c r="M39" s="27"/>
    </row>
    <row r="40" spans="1:26" s="179" customFormat="1" ht="14.25" customHeight="1">
      <c r="A40" s="2"/>
      <c r="B40" s="2" t="s">
        <v>758</v>
      </c>
      <c r="C40" s="21">
        <v>550</v>
      </c>
      <c r="D40" s="21"/>
      <c r="M40" s="27"/>
    </row>
    <row r="41" spans="1:26" ht="14.25" customHeight="1">
      <c r="A41" s="2"/>
      <c r="B41" s="2" t="s">
        <v>757</v>
      </c>
      <c r="C41" s="21">
        <v>228</v>
      </c>
      <c r="D41" s="21"/>
      <c r="G41" s="172">
        <f>SUM(G36:G39)</f>
        <v>47899.490000000005</v>
      </c>
      <c r="H41" s="172">
        <v>61595</v>
      </c>
      <c r="I41" s="172">
        <f>H41-G41</f>
        <v>13695.509999999995</v>
      </c>
    </row>
    <row r="42" spans="1:26" s="177" customFormat="1" ht="14.25" customHeight="1">
      <c r="A42" s="2"/>
      <c r="B42" s="2"/>
      <c r="C42" s="21"/>
      <c r="D42" s="21"/>
      <c r="G42" s="172"/>
      <c r="H42" s="172"/>
      <c r="I42" s="172"/>
    </row>
    <row r="43" spans="1:26" s="177" customFormat="1" ht="14.25" customHeight="1">
      <c r="A43" s="2"/>
      <c r="B43" s="2" t="s">
        <v>706</v>
      </c>
      <c r="C43" s="21"/>
      <c r="D43" s="21"/>
      <c r="G43" s="172"/>
      <c r="H43" s="172"/>
      <c r="I43" s="172"/>
    </row>
    <row r="44" spans="1:26" ht="14.25" customHeight="1">
      <c r="A44" s="2"/>
      <c r="B44" s="2" t="s">
        <v>707</v>
      </c>
      <c r="C44" s="21"/>
      <c r="D44" s="21"/>
    </row>
    <row r="45" spans="1:26" ht="14.25" customHeight="1">
      <c r="A45" s="2"/>
      <c r="B45" s="2" t="s">
        <v>730</v>
      </c>
      <c r="C45" s="21"/>
      <c r="D45" s="21"/>
      <c r="F45" s="142"/>
      <c r="I45" s="15"/>
    </row>
    <row r="46" spans="1:26" ht="14.25" customHeight="1">
      <c r="A46" s="2"/>
      <c r="B46" s="2" t="s">
        <v>731</v>
      </c>
      <c r="C46" s="21"/>
      <c r="D46" s="145"/>
      <c r="F46" s="142"/>
    </row>
    <row r="47" spans="1:26" ht="14.25" customHeight="1">
      <c r="A47" s="2"/>
      <c r="B47" s="3" t="s">
        <v>14</v>
      </c>
      <c r="C47" s="30">
        <f>SUM(C39:C46)</f>
        <v>1878</v>
      </c>
      <c r="D47" s="21"/>
    </row>
    <row r="48" spans="1:26" ht="14.25" customHeight="1">
      <c r="A48" s="2"/>
      <c r="B48" s="3" t="s">
        <v>34</v>
      </c>
      <c r="C48" s="31">
        <f>C37+C47</f>
        <v>19733.030000000002</v>
      </c>
      <c r="D48" s="29"/>
      <c r="E48" s="176">
        <f>C48-D48</f>
        <v>19733.030000000002</v>
      </c>
    </row>
    <row r="49" spans="1:4" ht="14.25" customHeight="1">
      <c r="A49" s="2"/>
      <c r="D49" s="9"/>
    </row>
    <row r="50" spans="1:4" ht="14.25" customHeight="1">
      <c r="A50" s="2"/>
    </row>
    <row r="51" spans="1:4" ht="14.25" customHeight="1"/>
    <row r="52" spans="1:4" ht="14.25" customHeight="1"/>
    <row r="53" spans="1:4" ht="14.25" customHeight="1"/>
    <row r="54" spans="1:4" ht="14.25" customHeight="1"/>
    <row r="55" spans="1:4" ht="14.25" customHeight="1"/>
    <row r="56" spans="1:4" ht="14.25" customHeight="1"/>
    <row r="57" spans="1:4" ht="14.25" customHeight="1"/>
    <row r="58" spans="1:4" ht="14.25" customHeight="1"/>
    <row r="59" spans="1:4" ht="14.25" customHeight="1"/>
    <row r="60" spans="1:4" ht="14.25" customHeight="1"/>
    <row r="61" spans="1:4" ht="14.25" customHeight="1"/>
    <row r="62" spans="1:4" ht="14.25" customHeight="1"/>
    <row r="63" spans="1:4" ht="14.25" customHeight="1"/>
    <row r="64" spans="1: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022"/>
  <sheetViews>
    <sheetView topLeftCell="B4" workbookViewId="0">
      <selection activeCell="D6" sqref="D6"/>
    </sheetView>
  </sheetViews>
  <sheetFormatPr defaultColWidth="14.44140625" defaultRowHeight="15" customHeight="1"/>
  <cols>
    <col min="1" max="1" width="15.109375" customWidth="1"/>
    <col min="2" max="2" width="48.33203125" customWidth="1"/>
    <col min="3" max="3" width="15.6640625" customWidth="1"/>
    <col min="4" max="4" width="12.44140625" customWidth="1"/>
    <col min="5" max="5" width="19.44140625" customWidth="1"/>
    <col min="6" max="6" width="19.109375" customWidth="1"/>
    <col min="7" max="7" width="19.88671875" customWidth="1"/>
    <col min="8" max="8" width="28.5546875" customWidth="1"/>
    <col min="9" max="9" width="34.109375" customWidth="1"/>
    <col min="10" max="10" width="9.5546875" customWidth="1"/>
    <col min="11" max="11" width="8.6640625" customWidth="1"/>
    <col min="12" max="12" width="18.5546875" customWidth="1"/>
    <col min="13" max="13" width="20.6640625" customWidth="1"/>
  </cols>
  <sheetData>
    <row r="1" spans="1:11" ht="14.25" customHeight="1">
      <c r="B1" s="1" t="s">
        <v>35</v>
      </c>
      <c r="I1" s="15" t="s">
        <v>36</v>
      </c>
    </row>
    <row r="2" spans="1:11" ht="14.25" customHeight="1">
      <c r="F2" s="32"/>
      <c r="I2" s="15" t="s">
        <v>37</v>
      </c>
    </row>
    <row r="3" spans="1:11" ht="14.25" customHeight="1">
      <c r="A3" s="3" t="s">
        <v>38</v>
      </c>
      <c r="B3" s="3" t="s">
        <v>1</v>
      </c>
      <c r="C3" s="3" t="s">
        <v>39</v>
      </c>
      <c r="D3" s="3" t="s">
        <v>40</v>
      </c>
      <c r="E3" s="9"/>
      <c r="F3" s="1"/>
      <c r="G3" s="33"/>
      <c r="H3" s="33"/>
      <c r="I3" s="34" t="s">
        <v>41</v>
      </c>
      <c r="J3" s="33"/>
      <c r="K3" s="33"/>
    </row>
    <row r="4" spans="1:11" ht="14.25" customHeight="1">
      <c r="A4" s="4"/>
      <c r="B4" s="35" t="s">
        <v>42</v>
      </c>
      <c r="C4" s="21"/>
      <c r="D4" s="21"/>
      <c r="E4" s="9"/>
      <c r="F4" s="32"/>
      <c r="G4" s="9"/>
      <c r="I4" s="15" t="s">
        <v>43</v>
      </c>
      <c r="J4" s="9"/>
    </row>
    <row r="5" spans="1:11" ht="14.25" customHeight="1">
      <c r="A5" s="4"/>
      <c r="B5" s="35"/>
      <c r="C5" s="21"/>
      <c r="D5" s="21"/>
      <c r="E5" s="9"/>
      <c r="F5" s="32"/>
      <c r="G5" s="9"/>
      <c r="I5" s="15"/>
      <c r="J5" s="9"/>
    </row>
    <row r="6" spans="1:11" ht="14.25" customHeight="1">
      <c r="A6" s="2" t="s">
        <v>44</v>
      </c>
      <c r="B6" s="35" t="s">
        <v>45</v>
      </c>
      <c r="C6" s="21">
        <v>854</v>
      </c>
      <c r="D6" s="21"/>
      <c r="E6" s="9">
        <v>3200</v>
      </c>
      <c r="F6" s="32" t="s">
        <v>46</v>
      </c>
      <c r="G6" s="15" t="s">
        <v>47</v>
      </c>
      <c r="H6" s="34"/>
      <c r="I6" s="33" t="s">
        <v>48</v>
      </c>
      <c r="J6" s="9"/>
    </row>
    <row r="7" spans="1:11" ht="14.25" customHeight="1">
      <c r="A7" s="2"/>
      <c r="B7" s="35" t="s">
        <v>49</v>
      </c>
      <c r="C7" s="21">
        <v>150</v>
      </c>
      <c r="D7" s="21"/>
      <c r="E7" s="9"/>
      <c r="F7" s="32"/>
      <c r="G7" s="15"/>
      <c r="H7" s="33"/>
      <c r="I7" s="33"/>
      <c r="J7" s="9"/>
    </row>
    <row r="8" spans="1:11" ht="14.25" customHeight="1">
      <c r="A8" s="2" t="s">
        <v>50</v>
      </c>
      <c r="B8" s="35" t="s">
        <v>51</v>
      </c>
      <c r="C8" s="21">
        <v>540</v>
      </c>
      <c r="D8" s="21"/>
      <c r="E8" s="9">
        <v>5780</v>
      </c>
      <c r="F8" s="32" t="s">
        <v>52</v>
      </c>
      <c r="G8" s="15"/>
      <c r="H8" s="33"/>
      <c r="I8" s="33" t="s">
        <v>53</v>
      </c>
      <c r="J8" s="9"/>
    </row>
    <row r="9" spans="1:11" ht="14.25" customHeight="1">
      <c r="A9" s="2"/>
      <c r="B9" s="35" t="s">
        <v>54</v>
      </c>
      <c r="C9" s="21">
        <v>500</v>
      </c>
      <c r="D9" s="21"/>
      <c r="E9" s="9"/>
      <c r="F9" s="32" t="s">
        <v>55</v>
      </c>
      <c r="J9" s="9"/>
    </row>
    <row r="10" spans="1:11" ht="14.25" customHeight="1">
      <c r="A10" s="2">
        <v>20</v>
      </c>
      <c r="B10" s="35" t="s">
        <v>56</v>
      </c>
      <c r="C10" s="21">
        <v>540</v>
      </c>
      <c r="D10" s="21"/>
      <c r="E10" s="9">
        <v>10800</v>
      </c>
      <c r="F10" s="32" t="s">
        <v>57</v>
      </c>
      <c r="G10" s="15" t="s">
        <v>58</v>
      </c>
      <c r="J10" s="9"/>
    </row>
    <row r="11" spans="1:11" ht="14.25" customHeight="1">
      <c r="A11" s="2" t="s">
        <v>44</v>
      </c>
      <c r="B11" s="35" t="s">
        <v>59</v>
      </c>
      <c r="C11" s="21">
        <v>1621</v>
      </c>
      <c r="D11" s="36"/>
      <c r="E11" s="9"/>
      <c r="F11" s="32" t="s">
        <v>60</v>
      </c>
      <c r="G11" s="15" t="s">
        <v>61</v>
      </c>
      <c r="J11" s="37"/>
    </row>
    <row r="12" spans="1:11" ht="14.25" customHeight="1">
      <c r="A12" s="2"/>
      <c r="B12" s="35" t="s">
        <v>62</v>
      </c>
      <c r="C12" s="21">
        <v>0</v>
      </c>
      <c r="D12" s="38"/>
      <c r="E12" s="9">
        <v>1200</v>
      </c>
      <c r="F12" s="32"/>
      <c r="J12" s="9"/>
    </row>
    <row r="13" spans="1:11" ht="14.25" customHeight="1">
      <c r="A13" s="2"/>
      <c r="B13" s="35" t="s">
        <v>63</v>
      </c>
      <c r="C13" s="21">
        <v>352</v>
      </c>
      <c r="D13" s="21"/>
      <c r="E13" s="9"/>
      <c r="F13" s="32"/>
      <c r="J13" s="9"/>
    </row>
    <row r="14" spans="1:11" ht="14.25" customHeight="1">
      <c r="A14" s="2"/>
      <c r="B14" s="35" t="s">
        <v>64</v>
      </c>
      <c r="C14" s="21">
        <v>270</v>
      </c>
      <c r="D14" s="21"/>
      <c r="E14" s="9">
        <v>2917</v>
      </c>
      <c r="F14" s="32" t="s">
        <v>65</v>
      </c>
      <c r="J14" s="9"/>
    </row>
    <row r="15" spans="1:11" ht="14.25" customHeight="1">
      <c r="A15" s="2" t="s">
        <v>44</v>
      </c>
      <c r="B15" s="35" t="s">
        <v>66</v>
      </c>
      <c r="C15" s="21">
        <v>540</v>
      </c>
      <c r="D15" s="21"/>
      <c r="E15" s="9"/>
      <c r="F15" s="32" t="s">
        <v>67</v>
      </c>
      <c r="G15" s="15" t="s">
        <v>68</v>
      </c>
      <c r="J15" s="9"/>
    </row>
    <row r="16" spans="1:11" ht="14.25" customHeight="1">
      <c r="A16" s="2"/>
      <c r="B16" s="39" t="s">
        <v>69</v>
      </c>
      <c r="C16" s="21">
        <v>0</v>
      </c>
      <c r="D16" s="21"/>
      <c r="E16" s="9"/>
      <c r="F16" s="32" t="s">
        <v>70</v>
      </c>
      <c r="G16" s="15" t="s">
        <v>71</v>
      </c>
      <c r="J16" s="9"/>
    </row>
    <row r="17" spans="1:12" ht="14.25" customHeight="1">
      <c r="A17" s="2"/>
      <c r="B17" s="35" t="s">
        <v>701</v>
      </c>
      <c r="C17" s="21"/>
      <c r="D17" s="21"/>
      <c r="E17" s="9">
        <v>2500</v>
      </c>
      <c r="F17" s="32"/>
      <c r="J17" s="9"/>
    </row>
    <row r="18" spans="1:12" ht="14.25" customHeight="1">
      <c r="A18" s="2"/>
      <c r="B18" s="35" t="s">
        <v>72</v>
      </c>
      <c r="C18" s="21">
        <v>677</v>
      </c>
      <c r="D18" s="21"/>
      <c r="E18" s="9">
        <v>677</v>
      </c>
      <c r="F18" s="32" t="s">
        <v>73</v>
      </c>
      <c r="J18" s="9"/>
    </row>
    <row r="19" spans="1:12" ht="14.25" customHeight="1">
      <c r="A19" s="2" t="s">
        <v>44</v>
      </c>
      <c r="B19" s="35" t="s">
        <v>74</v>
      </c>
      <c r="C19" s="21">
        <v>640</v>
      </c>
      <c r="D19" s="21"/>
      <c r="E19" s="9">
        <v>640</v>
      </c>
      <c r="F19" s="32" t="s">
        <v>75</v>
      </c>
      <c r="J19" s="9"/>
    </row>
    <row r="20" spans="1:12" ht="14.25" customHeight="1">
      <c r="A20" s="2" t="s">
        <v>44</v>
      </c>
      <c r="B20" s="35" t="s">
        <v>76</v>
      </c>
      <c r="C20" s="21">
        <v>1200</v>
      </c>
      <c r="D20" s="21"/>
      <c r="E20" s="9"/>
      <c r="F20" s="32" t="s">
        <v>77</v>
      </c>
      <c r="J20" s="9"/>
    </row>
    <row r="21" spans="1:12" ht="14.25" customHeight="1">
      <c r="A21" s="2" t="s">
        <v>44</v>
      </c>
      <c r="B21" s="35" t="s">
        <v>78</v>
      </c>
      <c r="C21" s="21">
        <v>500</v>
      </c>
      <c r="D21" s="21"/>
      <c r="E21" s="9">
        <v>1370</v>
      </c>
      <c r="F21" s="32" t="s">
        <v>79</v>
      </c>
      <c r="J21" s="9"/>
    </row>
    <row r="22" spans="1:12" ht="14.25" customHeight="1">
      <c r="A22" s="2"/>
      <c r="B22" s="35" t="s">
        <v>80</v>
      </c>
      <c r="C22" s="21">
        <v>2000</v>
      </c>
      <c r="D22" s="21"/>
      <c r="E22" s="9">
        <v>2800</v>
      </c>
      <c r="F22" s="32"/>
      <c r="J22" s="9"/>
    </row>
    <row r="23" spans="1:12" ht="14.25" customHeight="1">
      <c r="A23" s="2"/>
      <c r="B23" s="35" t="s">
        <v>81</v>
      </c>
      <c r="C23" s="21">
        <v>550</v>
      </c>
      <c r="D23" s="21"/>
      <c r="E23" s="9">
        <v>550</v>
      </c>
      <c r="F23" s="32"/>
      <c r="G23" s="32" t="s">
        <v>75</v>
      </c>
      <c r="J23" s="9"/>
    </row>
    <row r="24" spans="1:12" ht="14.25" customHeight="1">
      <c r="A24" s="2"/>
      <c r="B24" s="35" t="s">
        <v>82</v>
      </c>
      <c r="C24" s="21">
        <v>300</v>
      </c>
      <c r="D24" s="21"/>
      <c r="E24" s="9"/>
      <c r="F24" s="32" t="s">
        <v>83</v>
      </c>
      <c r="J24" s="9"/>
    </row>
    <row r="25" spans="1:12" ht="14.25" customHeight="1">
      <c r="A25" s="2"/>
      <c r="B25" s="35" t="s">
        <v>84</v>
      </c>
      <c r="C25" s="21">
        <v>490</v>
      </c>
      <c r="D25" s="21"/>
      <c r="E25" s="9">
        <v>490</v>
      </c>
      <c r="F25" s="32"/>
      <c r="J25" s="9"/>
    </row>
    <row r="26" spans="1:12" ht="14.25" customHeight="1">
      <c r="A26" s="2"/>
      <c r="B26" s="35" t="s">
        <v>85</v>
      </c>
      <c r="C26" s="21">
        <v>800</v>
      </c>
      <c r="D26" s="21"/>
      <c r="E26" s="9"/>
      <c r="F26" s="32" t="s">
        <v>86</v>
      </c>
      <c r="J26" s="9"/>
    </row>
    <row r="27" spans="1:12" ht="14.25" customHeight="1">
      <c r="A27" s="2"/>
      <c r="B27" s="35" t="s">
        <v>87</v>
      </c>
      <c r="C27" s="21">
        <v>1200</v>
      </c>
      <c r="D27" s="21"/>
      <c r="E27" s="9"/>
      <c r="F27" s="32"/>
      <c r="J27" s="9"/>
    </row>
    <row r="28" spans="1:12" ht="14.25" customHeight="1">
      <c r="A28" s="2"/>
      <c r="B28" s="35" t="s">
        <v>88</v>
      </c>
      <c r="C28" s="21">
        <v>677</v>
      </c>
      <c r="D28" s="21"/>
      <c r="E28" s="9"/>
      <c r="F28" s="32" t="s">
        <v>89</v>
      </c>
      <c r="J28" s="9"/>
    </row>
    <row r="29" spans="1:12" ht="14.25" customHeight="1">
      <c r="A29" s="2"/>
      <c r="B29" s="35" t="s">
        <v>90</v>
      </c>
      <c r="C29" s="21">
        <v>540</v>
      </c>
      <c r="D29" s="21"/>
      <c r="E29" s="9"/>
      <c r="F29" s="32"/>
      <c r="J29" s="9"/>
    </row>
    <row r="30" spans="1:12" ht="14.25" customHeight="1">
      <c r="A30" s="2"/>
      <c r="B30" s="35" t="s">
        <v>91</v>
      </c>
      <c r="C30" s="21">
        <v>520</v>
      </c>
      <c r="D30" s="21"/>
      <c r="E30" s="9"/>
      <c r="F30" s="32"/>
      <c r="H30" s="40" t="s">
        <v>92</v>
      </c>
      <c r="I30" s="41"/>
      <c r="J30" s="42"/>
      <c r="K30" s="41"/>
      <c r="L30" s="43"/>
    </row>
    <row r="31" spans="1:12" ht="14.25" customHeight="1">
      <c r="A31" s="2"/>
      <c r="B31" s="35" t="s">
        <v>93</v>
      </c>
      <c r="C31" s="21">
        <v>3400</v>
      </c>
      <c r="D31" s="21"/>
      <c r="E31" s="9">
        <v>520</v>
      </c>
      <c r="F31" s="32"/>
      <c r="H31" s="44">
        <v>22000</v>
      </c>
      <c r="I31" s="45" t="s">
        <v>94</v>
      </c>
      <c r="J31" s="46"/>
      <c r="K31" s="45"/>
      <c r="L31" s="47"/>
    </row>
    <row r="32" spans="1:12" ht="14.25" customHeight="1">
      <c r="A32" s="2"/>
      <c r="B32" s="35" t="s">
        <v>95</v>
      </c>
      <c r="C32" s="21"/>
      <c r="D32" s="21"/>
      <c r="E32" s="9">
        <v>300</v>
      </c>
      <c r="F32" s="32"/>
      <c r="H32" s="48">
        <v>20000</v>
      </c>
      <c r="I32" s="46" t="s">
        <v>96</v>
      </c>
      <c r="J32" s="46"/>
      <c r="K32" s="45"/>
      <c r="L32" s="47"/>
    </row>
    <row r="33" spans="1:12" ht="14.25" customHeight="1">
      <c r="A33" s="2"/>
      <c r="B33" s="49" t="s">
        <v>740</v>
      </c>
      <c r="C33" s="21">
        <v>0</v>
      </c>
      <c r="D33" s="21"/>
      <c r="E33" s="9">
        <v>650</v>
      </c>
      <c r="F33" s="32" t="s">
        <v>97</v>
      </c>
      <c r="H33" s="48">
        <v>-10000</v>
      </c>
      <c r="I33" s="46" t="s">
        <v>98</v>
      </c>
      <c r="J33" s="46"/>
      <c r="K33" s="45"/>
      <c r="L33" s="47"/>
    </row>
    <row r="34" spans="1:12" ht="14.25" customHeight="1">
      <c r="A34" s="2" t="s">
        <v>50</v>
      </c>
      <c r="B34" s="35" t="s">
        <v>99</v>
      </c>
      <c r="C34" s="50">
        <v>800</v>
      </c>
      <c r="D34" s="50"/>
      <c r="E34" s="9">
        <v>4000</v>
      </c>
      <c r="F34" s="32" t="s">
        <v>100</v>
      </c>
      <c r="G34">
        <v>6582.91</v>
      </c>
      <c r="H34" s="51"/>
      <c r="I34" s="15"/>
      <c r="J34" s="9"/>
      <c r="K34" s="15"/>
      <c r="L34" s="52"/>
    </row>
    <row r="35" spans="1:12" ht="14.25" customHeight="1">
      <c r="A35" s="2"/>
      <c r="B35" s="35" t="s">
        <v>101</v>
      </c>
      <c r="C35" s="50">
        <v>540</v>
      </c>
      <c r="D35" s="50"/>
      <c r="E35" s="9"/>
      <c r="F35" s="32" t="s">
        <v>102</v>
      </c>
      <c r="G35">
        <v>1057</v>
      </c>
      <c r="H35" s="53">
        <v>37000</v>
      </c>
      <c r="I35" s="41"/>
      <c r="J35" s="42"/>
      <c r="K35" s="41"/>
      <c r="L35" s="43"/>
    </row>
    <row r="36" spans="1:12" ht="14.25" customHeight="1">
      <c r="A36" s="2"/>
      <c r="B36" s="35" t="s">
        <v>103</v>
      </c>
      <c r="C36" s="21"/>
      <c r="D36" s="21"/>
      <c r="E36" s="9">
        <v>2160</v>
      </c>
      <c r="F36" s="32"/>
      <c r="H36" s="44">
        <v>10000</v>
      </c>
      <c r="I36" s="45" t="s">
        <v>104</v>
      </c>
      <c r="J36" s="46"/>
      <c r="K36" s="45"/>
      <c r="L36" s="47"/>
    </row>
    <row r="37" spans="1:12" ht="14.25" customHeight="1">
      <c r="A37" s="2" t="s">
        <v>44</v>
      </c>
      <c r="B37" s="35" t="s">
        <v>105</v>
      </c>
      <c r="C37" s="21">
        <v>1621</v>
      </c>
      <c r="D37" s="21"/>
      <c r="E37" s="9"/>
      <c r="F37" s="54" t="s">
        <v>106</v>
      </c>
      <c r="G37">
        <f>SUM(G34:G36)</f>
        <v>7639.91</v>
      </c>
      <c r="H37" s="48">
        <v>27000</v>
      </c>
      <c r="I37" s="46" t="s">
        <v>107</v>
      </c>
      <c r="J37" s="46"/>
      <c r="K37" s="45"/>
      <c r="L37" s="47"/>
    </row>
    <row r="38" spans="1:12" ht="14.25" customHeight="1">
      <c r="A38" s="2" t="s">
        <v>44</v>
      </c>
      <c r="B38" s="35" t="s">
        <v>108</v>
      </c>
      <c r="C38" s="21">
        <v>1010</v>
      </c>
      <c r="D38" s="21"/>
      <c r="E38" s="9"/>
      <c r="F38" s="32"/>
      <c r="H38" s="48">
        <v>5000</v>
      </c>
      <c r="I38" s="46" t="s">
        <v>109</v>
      </c>
      <c r="J38" s="46"/>
      <c r="K38" s="45"/>
      <c r="L38" s="47"/>
    </row>
    <row r="39" spans="1:12" ht="14.25" customHeight="1">
      <c r="A39" s="2"/>
      <c r="B39" s="35" t="s">
        <v>110</v>
      </c>
      <c r="C39" s="21">
        <v>180</v>
      </c>
      <c r="D39" s="21"/>
      <c r="E39" s="9"/>
      <c r="F39" s="32"/>
      <c r="H39" s="48"/>
      <c r="I39" s="46"/>
      <c r="J39" s="46"/>
      <c r="K39" s="45"/>
      <c r="L39" s="47"/>
    </row>
    <row r="40" spans="1:12" ht="14.25" customHeight="1">
      <c r="A40" s="2"/>
      <c r="B40" s="49" t="s">
        <v>111</v>
      </c>
      <c r="C40" s="21">
        <v>0</v>
      </c>
      <c r="D40" s="21"/>
      <c r="E40" s="9">
        <v>165</v>
      </c>
      <c r="F40" s="15" t="s">
        <v>112</v>
      </c>
      <c r="H40" s="55">
        <v>37000</v>
      </c>
      <c r="I40" s="56"/>
      <c r="J40" s="57"/>
      <c r="K40" s="58"/>
      <c r="L40" s="59"/>
    </row>
    <row r="41" spans="1:12" ht="14.25" customHeight="1">
      <c r="A41" s="2"/>
      <c r="B41" s="35" t="s">
        <v>113</v>
      </c>
      <c r="C41" s="21">
        <v>2000</v>
      </c>
      <c r="D41" s="21"/>
      <c r="E41" s="60">
        <v>54456.56</v>
      </c>
      <c r="F41" s="32" t="s">
        <v>114</v>
      </c>
      <c r="G41" s="15" t="s">
        <v>71</v>
      </c>
      <c r="H41" s="44">
        <v>-10000</v>
      </c>
      <c r="I41" s="61">
        <v>45954</v>
      </c>
      <c r="J41" s="46"/>
      <c r="K41" s="45"/>
      <c r="L41" s="47"/>
    </row>
    <row r="42" spans="1:12" ht="14.25" customHeight="1">
      <c r="A42" s="2"/>
      <c r="B42" s="35" t="s">
        <v>115</v>
      </c>
      <c r="C42" s="21">
        <v>1500</v>
      </c>
      <c r="D42" s="21"/>
      <c r="E42" s="9"/>
      <c r="F42" s="32" t="s">
        <v>116</v>
      </c>
      <c r="G42" s="15" t="e">
        <f>D29:D+G427</f>
        <v>#NAME?</v>
      </c>
      <c r="H42" s="62"/>
      <c r="I42" s="61"/>
      <c r="J42" s="46"/>
      <c r="K42" s="45"/>
      <c r="L42" s="47"/>
    </row>
    <row r="43" spans="1:12" ht="14.25" customHeight="1">
      <c r="A43" s="2"/>
      <c r="B43" s="35" t="s">
        <v>117</v>
      </c>
      <c r="C43" s="21">
        <v>1500</v>
      </c>
      <c r="D43" s="21"/>
      <c r="E43" s="9"/>
      <c r="F43" s="32" t="s">
        <v>118</v>
      </c>
      <c r="G43" s="15"/>
      <c r="H43" s="62"/>
      <c r="I43" s="61"/>
      <c r="J43" s="46"/>
      <c r="K43" s="45"/>
      <c r="L43" s="47"/>
    </row>
    <row r="44" spans="1:12" ht="14.25" customHeight="1">
      <c r="A44" s="2"/>
      <c r="B44" s="49" t="s">
        <v>119</v>
      </c>
      <c r="C44" s="21">
        <v>1500</v>
      </c>
      <c r="D44" s="21"/>
      <c r="E44" s="9">
        <v>3000</v>
      </c>
      <c r="F44" s="32" t="s">
        <v>120</v>
      </c>
      <c r="H44" s="48">
        <v>5000</v>
      </c>
      <c r="I44" s="46" t="s">
        <v>121</v>
      </c>
      <c r="J44" s="46"/>
      <c r="K44" s="45"/>
      <c r="L44" s="47"/>
    </row>
    <row r="45" spans="1:12" ht="14.25" customHeight="1">
      <c r="A45" s="2"/>
      <c r="B45" s="35" t="s">
        <v>122</v>
      </c>
      <c r="C45" s="21">
        <v>400</v>
      </c>
      <c r="D45" s="21"/>
      <c r="E45" s="9"/>
      <c r="F45" s="32"/>
      <c r="H45" s="63">
        <v>32000</v>
      </c>
      <c r="I45" s="46"/>
      <c r="J45" s="46"/>
      <c r="K45" s="45"/>
      <c r="L45" s="47"/>
    </row>
    <row r="46" spans="1:12" ht="14.25" customHeight="1">
      <c r="A46" s="2" t="s">
        <v>123</v>
      </c>
      <c r="B46" s="169" t="s">
        <v>124</v>
      </c>
      <c r="C46" s="21"/>
      <c r="D46" s="21"/>
      <c r="E46" s="9"/>
      <c r="F46" s="32" t="s">
        <v>125</v>
      </c>
      <c r="H46" s="51">
        <v>5000</v>
      </c>
      <c r="I46" s="64" t="s">
        <v>126</v>
      </c>
      <c r="J46" s="42"/>
      <c r="K46" s="41"/>
      <c r="L46" s="43"/>
    </row>
    <row r="47" spans="1:12" ht="14.25" customHeight="1">
      <c r="A47" s="2"/>
      <c r="B47" s="35" t="s">
        <v>127</v>
      </c>
      <c r="C47" s="21"/>
      <c r="D47" s="21"/>
      <c r="E47" s="9">
        <v>1800</v>
      </c>
      <c r="F47" s="32" t="s">
        <v>128</v>
      </c>
      <c r="H47" s="51"/>
      <c r="I47" s="45"/>
      <c r="J47" s="9"/>
      <c r="K47" s="15"/>
      <c r="L47" s="52"/>
    </row>
    <row r="48" spans="1:12" ht="14.25" customHeight="1">
      <c r="A48" s="2" t="s">
        <v>129</v>
      </c>
      <c r="B48" s="35" t="s">
        <v>130</v>
      </c>
      <c r="C48" s="21">
        <v>600</v>
      </c>
      <c r="D48" s="21"/>
      <c r="E48" s="9"/>
      <c r="F48" s="32" t="s">
        <v>131</v>
      </c>
      <c r="H48" s="62">
        <v>5000</v>
      </c>
      <c r="I48" s="45" t="s">
        <v>132</v>
      </c>
      <c r="J48" s="46"/>
      <c r="K48" s="45"/>
      <c r="L48" s="47"/>
    </row>
    <row r="49" spans="1:12" ht="14.25" customHeight="1">
      <c r="A49" s="2" t="s">
        <v>44</v>
      </c>
      <c r="B49" s="35" t="s">
        <v>133</v>
      </c>
      <c r="C49" s="21">
        <v>975</v>
      </c>
      <c r="D49" s="21"/>
      <c r="E49" s="9"/>
      <c r="F49" s="32" t="s">
        <v>134</v>
      </c>
      <c r="G49" s="15"/>
      <c r="H49" s="48">
        <f>SUM(H45:H48)</f>
        <v>42000</v>
      </c>
      <c r="I49" s="46"/>
      <c r="J49" s="46"/>
      <c r="K49" s="45"/>
      <c r="L49" s="47"/>
    </row>
    <row r="50" spans="1:12" ht="14.25" customHeight="1">
      <c r="A50" s="2"/>
      <c r="B50" s="35" t="s">
        <v>135</v>
      </c>
      <c r="C50" s="21">
        <v>614</v>
      </c>
      <c r="D50" s="21"/>
      <c r="E50" s="9">
        <v>2168</v>
      </c>
      <c r="F50" s="180" t="s">
        <v>770</v>
      </c>
      <c r="G50" s="172">
        <v>2112</v>
      </c>
      <c r="H50" s="48">
        <v>5000</v>
      </c>
      <c r="I50" s="46" t="s">
        <v>136</v>
      </c>
      <c r="J50" s="46"/>
      <c r="K50" s="45"/>
      <c r="L50" s="47"/>
    </row>
    <row r="51" spans="1:12" ht="14.25" customHeight="1">
      <c r="A51" s="2" t="s">
        <v>44</v>
      </c>
      <c r="B51" s="35" t="s">
        <v>137</v>
      </c>
      <c r="C51" s="21"/>
      <c r="D51" s="21"/>
      <c r="E51" s="9">
        <v>4860</v>
      </c>
      <c r="F51" s="32"/>
      <c r="G51" s="15" t="s">
        <v>138</v>
      </c>
      <c r="H51" s="55">
        <v>47000</v>
      </c>
      <c r="I51" s="57"/>
      <c r="J51" s="57"/>
      <c r="K51" s="58"/>
      <c r="L51" s="59"/>
    </row>
    <row r="52" spans="1:12" ht="14.25" customHeight="1">
      <c r="A52" s="2" t="s">
        <v>50</v>
      </c>
      <c r="B52" s="35" t="s">
        <v>139</v>
      </c>
      <c r="C52" s="21">
        <v>600</v>
      </c>
      <c r="D52" s="21"/>
      <c r="E52" s="9">
        <v>900</v>
      </c>
      <c r="F52" s="32" t="s">
        <v>140</v>
      </c>
      <c r="G52" s="15"/>
      <c r="H52" s="46">
        <v>5000</v>
      </c>
      <c r="I52" s="9" t="s">
        <v>141</v>
      </c>
      <c r="J52" s="9"/>
      <c r="K52" s="15"/>
      <c r="L52" s="15"/>
    </row>
    <row r="53" spans="1:12" ht="14.25" customHeight="1">
      <c r="A53" s="2"/>
      <c r="B53" s="35" t="s">
        <v>142</v>
      </c>
      <c r="C53" s="21"/>
      <c r="D53" s="21"/>
      <c r="E53" s="9">
        <v>3400</v>
      </c>
      <c r="F53" s="32"/>
      <c r="G53" s="15"/>
      <c r="H53" s="9"/>
      <c r="I53" s="9"/>
      <c r="J53" s="9"/>
    </row>
    <row r="54" spans="1:12" ht="14.25" customHeight="1">
      <c r="A54" s="2"/>
      <c r="B54" s="35" t="s">
        <v>143</v>
      </c>
      <c r="C54" s="21">
        <v>1057</v>
      </c>
      <c r="D54" s="21"/>
      <c r="E54" s="9">
        <v>8696.91</v>
      </c>
      <c r="F54" s="32" t="s">
        <v>144</v>
      </c>
      <c r="H54" s="9" t="s">
        <v>145</v>
      </c>
      <c r="I54" s="9"/>
      <c r="J54" s="9"/>
    </row>
    <row r="55" spans="1:12" ht="14.25" customHeight="1">
      <c r="A55" s="2" t="s">
        <v>44</v>
      </c>
      <c r="B55" s="35" t="s">
        <v>146</v>
      </c>
      <c r="C55" s="21">
        <v>800</v>
      </c>
      <c r="D55" s="21"/>
      <c r="E55" s="9"/>
      <c r="F55" s="32" t="s">
        <v>147</v>
      </c>
      <c r="H55" s="9"/>
      <c r="I55" s="9"/>
      <c r="J55" s="9"/>
    </row>
    <row r="56" spans="1:12" ht="14.25" customHeight="1">
      <c r="A56" s="2"/>
      <c r="B56" s="35" t="s">
        <v>148</v>
      </c>
      <c r="C56" s="21"/>
      <c r="D56" s="21"/>
      <c r="E56" s="9">
        <v>0</v>
      </c>
      <c r="F56" s="32"/>
      <c r="H56" s="9"/>
      <c r="I56" s="9"/>
      <c r="J56" s="9"/>
    </row>
    <row r="57" spans="1:12" ht="14.25" customHeight="1">
      <c r="A57" s="2"/>
      <c r="B57" s="35" t="s">
        <v>149</v>
      </c>
      <c r="C57" s="21">
        <v>1530</v>
      </c>
      <c r="D57" s="21"/>
      <c r="E57" s="9"/>
      <c r="F57" s="32"/>
      <c r="H57" s="9"/>
      <c r="I57" s="9"/>
      <c r="J57" s="9"/>
    </row>
    <row r="58" spans="1:12" ht="14.25" customHeight="1">
      <c r="A58" s="2"/>
      <c r="B58" s="35" t="s">
        <v>150</v>
      </c>
      <c r="C58" s="21">
        <v>700</v>
      </c>
      <c r="D58" s="21"/>
      <c r="E58" s="9"/>
      <c r="F58" s="32"/>
      <c r="H58" s="9"/>
      <c r="I58" s="9"/>
      <c r="J58" s="9"/>
    </row>
    <row r="59" spans="1:12" ht="14.25" customHeight="1">
      <c r="A59" s="2" t="s">
        <v>44</v>
      </c>
      <c r="B59" s="35"/>
      <c r="C59" s="21"/>
      <c r="D59" s="21"/>
      <c r="E59" s="9" t="s">
        <v>151</v>
      </c>
      <c r="F59" s="2" t="s">
        <v>152</v>
      </c>
      <c r="H59" s="9"/>
      <c r="I59" s="9"/>
      <c r="J59" s="9"/>
    </row>
    <row r="60" spans="1:12" ht="14.25" customHeight="1">
      <c r="A60" s="2" t="s">
        <v>44</v>
      </c>
      <c r="B60" s="35" t="s">
        <v>153</v>
      </c>
      <c r="C60" s="21"/>
      <c r="D60" s="21"/>
      <c r="E60" s="9"/>
      <c r="F60" s="65" t="s">
        <v>154</v>
      </c>
      <c r="G60" s="15">
        <v>1518</v>
      </c>
      <c r="I60" s="9"/>
      <c r="J60" s="9"/>
    </row>
    <row r="61" spans="1:12" ht="14.25" customHeight="1">
      <c r="A61" s="2"/>
      <c r="B61" s="35" t="s">
        <v>155</v>
      </c>
      <c r="C61" s="21">
        <v>800</v>
      </c>
      <c r="D61" s="21"/>
      <c r="E61" s="9"/>
      <c r="F61" s="65"/>
      <c r="I61" s="9"/>
      <c r="J61" s="9"/>
    </row>
    <row r="62" spans="1:12" ht="14.25" customHeight="1">
      <c r="A62" s="2"/>
      <c r="B62" s="35" t="s">
        <v>716</v>
      </c>
      <c r="C62" s="21">
        <v>200</v>
      </c>
      <c r="D62" s="21"/>
      <c r="E62" s="9"/>
      <c r="F62" s="65"/>
      <c r="I62" s="9"/>
      <c r="J62" s="9"/>
    </row>
    <row r="63" spans="1:12" s="173" customFormat="1" ht="14.25" customHeight="1">
      <c r="A63" s="2"/>
      <c r="B63" s="35" t="s">
        <v>715</v>
      </c>
      <c r="C63" s="21"/>
      <c r="D63" s="21"/>
      <c r="E63" s="9"/>
      <c r="F63" s="65"/>
      <c r="I63" s="9"/>
      <c r="J63" s="9"/>
    </row>
    <row r="64" spans="1:12" ht="14.25" customHeight="1">
      <c r="A64" s="2" t="s">
        <v>44</v>
      </c>
      <c r="B64" s="35" t="s">
        <v>156</v>
      </c>
      <c r="C64" s="21">
        <v>677</v>
      </c>
      <c r="D64" s="21"/>
      <c r="E64" s="9"/>
      <c r="F64" s="32" t="s">
        <v>157</v>
      </c>
      <c r="G64" s="15" t="s">
        <v>71</v>
      </c>
      <c r="I64" s="9"/>
      <c r="J64" s="9"/>
      <c r="K64" s="33"/>
    </row>
    <row r="65" spans="1:11" ht="14.25" customHeight="1">
      <c r="A65" s="2"/>
      <c r="B65" s="35" t="s">
        <v>158</v>
      </c>
      <c r="C65" s="21">
        <v>150</v>
      </c>
      <c r="D65" s="21"/>
      <c r="E65" s="9"/>
      <c r="F65" s="32" t="s">
        <v>159</v>
      </c>
      <c r="G65" s="15"/>
      <c r="I65" s="9"/>
      <c r="J65" s="9"/>
      <c r="K65" s="33"/>
    </row>
    <row r="66" spans="1:11" ht="14.25" customHeight="1">
      <c r="A66" s="2"/>
      <c r="B66" s="35" t="s">
        <v>160</v>
      </c>
      <c r="C66" s="21">
        <v>150</v>
      </c>
      <c r="D66" s="21"/>
      <c r="E66" s="9"/>
      <c r="F66" s="32" t="s">
        <v>161</v>
      </c>
      <c r="I66" s="9"/>
      <c r="J66" s="9"/>
    </row>
    <row r="67" spans="1:11" ht="14.25" customHeight="1">
      <c r="A67" s="2"/>
      <c r="B67" s="35" t="s">
        <v>162</v>
      </c>
      <c r="C67" s="21">
        <v>780</v>
      </c>
      <c r="D67" s="21"/>
      <c r="E67" s="9"/>
      <c r="F67" s="32" t="s">
        <v>163</v>
      </c>
      <c r="G67" s="15" t="s">
        <v>71</v>
      </c>
      <c r="I67" s="9"/>
      <c r="J67" s="9"/>
    </row>
    <row r="68" spans="1:11" ht="14.25" customHeight="1">
      <c r="A68" s="2" t="s">
        <v>50</v>
      </c>
      <c r="B68" s="35" t="s">
        <v>164</v>
      </c>
      <c r="C68" s="21">
        <v>150</v>
      </c>
      <c r="D68" s="21"/>
      <c r="E68" s="9"/>
      <c r="F68" s="32" t="s">
        <v>165</v>
      </c>
      <c r="I68" s="9"/>
      <c r="J68" s="9"/>
    </row>
    <row r="69" spans="1:11" ht="14.25" customHeight="1">
      <c r="A69" s="2"/>
      <c r="B69" s="49" t="s">
        <v>166</v>
      </c>
      <c r="C69" s="21"/>
      <c r="D69" s="21"/>
      <c r="E69" s="9"/>
      <c r="F69" s="32" t="s">
        <v>167</v>
      </c>
      <c r="I69" s="9"/>
      <c r="J69" s="9"/>
    </row>
    <row r="70" spans="1:11" ht="14.25" customHeight="1">
      <c r="A70" s="2"/>
      <c r="B70" s="66" t="s">
        <v>168</v>
      </c>
      <c r="C70" s="21">
        <v>0</v>
      </c>
      <c r="D70" s="21"/>
      <c r="E70" s="9">
        <v>1500</v>
      </c>
      <c r="F70" s="32" t="s">
        <v>169</v>
      </c>
      <c r="G70" s="15" t="s">
        <v>71</v>
      </c>
      <c r="I70" s="9"/>
      <c r="J70" s="9"/>
    </row>
    <row r="71" spans="1:11" ht="14.25" customHeight="1">
      <c r="A71" s="2"/>
      <c r="B71" s="35" t="s">
        <v>170</v>
      </c>
      <c r="C71" s="21">
        <v>2880</v>
      </c>
      <c r="D71" s="21"/>
      <c r="E71" s="9"/>
      <c r="F71" s="32"/>
      <c r="I71" s="9"/>
      <c r="J71" s="9"/>
    </row>
    <row r="72" spans="1:11" ht="14.25" customHeight="1">
      <c r="A72" s="2"/>
      <c r="B72" s="66" t="s">
        <v>148</v>
      </c>
      <c r="C72" s="21">
        <v>0</v>
      </c>
      <c r="D72" s="21"/>
      <c r="E72" s="9">
        <v>1000</v>
      </c>
      <c r="F72" s="32"/>
      <c r="G72" s="15" t="s">
        <v>71</v>
      </c>
      <c r="I72" s="9"/>
      <c r="J72" s="9"/>
    </row>
    <row r="73" spans="1:11" ht="14.25" customHeight="1">
      <c r="A73" s="2"/>
      <c r="B73" s="35" t="s">
        <v>171</v>
      </c>
      <c r="C73" s="21">
        <v>570</v>
      </c>
      <c r="D73" s="21"/>
      <c r="E73" s="9"/>
      <c r="F73" s="32"/>
      <c r="I73" s="9"/>
      <c r="J73" s="9"/>
    </row>
    <row r="74" spans="1:11" ht="14.25" customHeight="1">
      <c r="A74" s="2" t="s">
        <v>172</v>
      </c>
      <c r="B74" s="35" t="s">
        <v>173</v>
      </c>
      <c r="C74" s="21">
        <v>500</v>
      </c>
      <c r="D74" s="21"/>
      <c r="E74" s="9"/>
      <c r="F74" s="32" t="s">
        <v>174</v>
      </c>
      <c r="I74" s="9"/>
      <c r="J74" s="9"/>
    </row>
    <row r="75" spans="1:11" ht="14.25" customHeight="1">
      <c r="A75" s="2"/>
      <c r="B75" s="49" t="s">
        <v>175</v>
      </c>
      <c r="C75" s="21"/>
      <c r="D75" s="21"/>
      <c r="E75" s="9"/>
      <c r="F75" s="32" t="s">
        <v>176</v>
      </c>
      <c r="G75" s="15" t="s">
        <v>71</v>
      </c>
      <c r="I75" s="9"/>
      <c r="J75" s="9"/>
    </row>
    <row r="76" spans="1:11" ht="14.25" customHeight="1">
      <c r="A76" s="2"/>
      <c r="B76" s="35" t="s">
        <v>177</v>
      </c>
      <c r="C76" s="21">
        <v>1507</v>
      </c>
      <c r="D76" s="21"/>
      <c r="E76" s="9"/>
      <c r="F76" s="32"/>
      <c r="I76" s="9"/>
      <c r="J76" s="9"/>
    </row>
    <row r="77" spans="1:11" ht="14.25" customHeight="1">
      <c r="A77" s="2"/>
      <c r="B77" s="35" t="s">
        <v>178</v>
      </c>
      <c r="C77" s="21">
        <v>200</v>
      </c>
      <c r="D77" s="21"/>
      <c r="E77" s="9"/>
      <c r="F77" s="32"/>
      <c r="G77" s="9" t="s">
        <v>179</v>
      </c>
      <c r="I77" s="9"/>
      <c r="J77" s="9"/>
    </row>
    <row r="78" spans="1:11" ht="14.25" customHeight="1">
      <c r="A78" s="2"/>
      <c r="B78" s="35" t="s">
        <v>180</v>
      </c>
      <c r="C78" s="21">
        <v>600</v>
      </c>
      <c r="D78" s="21"/>
      <c r="E78" s="9"/>
      <c r="F78" s="32" t="s">
        <v>181</v>
      </c>
      <c r="G78" s="9"/>
      <c r="I78" s="9"/>
      <c r="J78" s="9"/>
    </row>
    <row r="79" spans="1:11" ht="14.25" customHeight="1">
      <c r="A79" s="2" t="s">
        <v>44</v>
      </c>
      <c r="B79" s="35" t="s">
        <v>182</v>
      </c>
      <c r="C79" s="21">
        <v>1000</v>
      </c>
      <c r="D79" s="21"/>
      <c r="E79" s="9">
        <v>1500</v>
      </c>
      <c r="F79" s="32" t="s">
        <v>183</v>
      </c>
      <c r="G79" s="67"/>
      <c r="I79" s="9"/>
      <c r="J79" s="9"/>
    </row>
    <row r="80" spans="1:11" ht="14.25" customHeight="1">
      <c r="A80" s="2" t="s">
        <v>50</v>
      </c>
      <c r="B80" s="35" t="s">
        <v>184</v>
      </c>
      <c r="C80" s="21">
        <v>160</v>
      </c>
      <c r="D80" s="21"/>
      <c r="E80" s="9">
        <v>160</v>
      </c>
      <c r="F80" s="32" t="s">
        <v>185</v>
      </c>
      <c r="I80" s="9"/>
      <c r="J80" s="9"/>
    </row>
    <row r="81" spans="1:10" ht="14.25" customHeight="1">
      <c r="A81" s="2"/>
      <c r="B81" s="35" t="s">
        <v>186</v>
      </c>
      <c r="C81" s="21">
        <v>1600</v>
      </c>
      <c r="D81" s="21"/>
      <c r="E81" s="9"/>
      <c r="F81" s="32"/>
      <c r="I81" s="9"/>
      <c r="J81" s="9"/>
    </row>
    <row r="82" spans="1:10" ht="14.25" customHeight="1">
      <c r="A82" s="2"/>
      <c r="B82" s="35"/>
      <c r="C82" s="21"/>
      <c r="D82" s="21"/>
      <c r="E82" s="9"/>
      <c r="F82" s="32"/>
      <c r="I82" s="9"/>
      <c r="J82" s="9"/>
    </row>
    <row r="83" spans="1:10" ht="14.25" customHeight="1">
      <c r="A83" s="2"/>
      <c r="B83" s="66" t="s">
        <v>187</v>
      </c>
      <c r="C83" s="21"/>
      <c r="D83" s="68"/>
      <c r="E83" s="9">
        <v>350</v>
      </c>
      <c r="F83" s="32"/>
      <c r="I83" s="9"/>
      <c r="J83" s="9"/>
    </row>
    <row r="84" spans="1:10" ht="14.25" customHeight="1">
      <c r="A84" s="2"/>
      <c r="B84" s="35" t="s">
        <v>188</v>
      </c>
      <c r="C84" s="21"/>
      <c r="D84" s="21"/>
      <c r="E84" s="9">
        <v>2130</v>
      </c>
      <c r="F84" s="32"/>
      <c r="I84" s="9"/>
      <c r="J84" s="9"/>
    </row>
    <row r="85" spans="1:10" ht="14.25" customHeight="1">
      <c r="A85" s="2"/>
      <c r="B85" s="35" t="s">
        <v>189</v>
      </c>
      <c r="C85" s="21">
        <v>1070</v>
      </c>
      <c r="D85" s="21"/>
      <c r="E85" s="9"/>
      <c r="F85" s="32"/>
      <c r="I85" s="9"/>
      <c r="J85" s="9"/>
    </row>
    <row r="86" spans="1:10" ht="14.25" customHeight="1">
      <c r="A86" s="2" t="s">
        <v>190</v>
      </c>
      <c r="B86" s="35" t="s">
        <v>191</v>
      </c>
      <c r="C86" s="21"/>
      <c r="D86" s="21"/>
      <c r="E86" s="9">
        <v>4000</v>
      </c>
      <c r="F86" s="32" t="s">
        <v>192</v>
      </c>
      <c r="G86" s="15">
        <v>1500</v>
      </c>
      <c r="I86" s="9"/>
      <c r="J86" s="9"/>
    </row>
    <row r="87" spans="1:10" ht="14.25" customHeight="1">
      <c r="A87" s="2"/>
      <c r="B87" s="35" t="s">
        <v>193</v>
      </c>
      <c r="C87" s="21">
        <v>615</v>
      </c>
      <c r="D87" s="21"/>
      <c r="E87" s="9" t="s">
        <v>711</v>
      </c>
      <c r="F87" s="32" t="s">
        <v>194</v>
      </c>
      <c r="G87" s="27"/>
      <c r="I87" s="9"/>
      <c r="J87" s="9"/>
    </row>
    <row r="88" spans="1:10" ht="14.25" customHeight="1">
      <c r="A88" s="2"/>
      <c r="B88" s="66" t="s">
        <v>742</v>
      </c>
      <c r="C88" s="21"/>
      <c r="D88" s="21"/>
      <c r="E88" s="9"/>
      <c r="F88" s="32"/>
      <c r="I88" s="9"/>
      <c r="J88" s="9"/>
    </row>
    <row r="89" spans="1:10" ht="14.25" customHeight="1">
      <c r="A89" s="2"/>
      <c r="B89" s="35" t="s">
        <v>195</v>
      </c>
      <c r="C89" s="21">
        <v>430</v>
      </c>
      <c r="D89" s="21"/>
      <c r="E89" s="9"/>
      <c r="F89" s="32" t="s">
        <v>196</v>
      </c>
      <c r="I89" s="9"/>
      <c r="J89" s="9"/>
    </row>
    <row r="90" spans="1:10" ht="14.25" customHeight="1">
      <c r="A90" s="2"/>
      <c r="B90" s="35" t="s">
        <v>197</v>
      </c>
      <c r="C90" s="21">
        <v>1000</v>
      </c>
      <c r="D90" s="21"/>
      <c r="E90" s="9">
        <v>1000</v>
      </c>
      <c r="F90" s="32"/>
      <c r="I90" s="9"/>
      <c r="J90" s="9"/>
    </row>
    <row r="91" spans="1:10" ht="14.25" customHeight="1">
      <c r="A91" s="2"/>
      <c r="B91" s="35" t="s">
        <v>697</v>
      </c>
      <c r="C91" s="21"/>
      <c r="D91" s="21"/>
      <c r="E91" s="9"/>
      <c r="F91" s="32" t="s">
        <v>698</v>
      </c>
      <c r="I91" s="9"/>
      <c r="J91" s="9"/>
    </row>
    <row r="92" spans="1:10" s="167" customFormat="1" ht="14.25" customHeight="1">
      <c r="A92" s="2"/>
      <c r="B92" s="35" t="s">
        <v>699</v>
      </c>
      <c r="C92" s="21"/>
      <c r="D92" s="21"/>
      <c r="E92" s="9">
        <v>1</v>
      </c>
      <c r="F92" s="32" t="s">
        <v>700</v>
      </c>
      <c r="I92" s="9"/>
      <c r="J92" s="9"/>
    </row>
    <row r="93" spans="1:10" ht="14.25" customHeight="1">
      <c r="A93" s="2"/>
      <c r="B93" s="35" t="s">
        <v>198</v>
      </c>
      <c r="C93" s="21">
        <v>200</v>
      </c>
      <c r="D93" s="21"/>
      <c r="E93" s="9"/>
      <c r="F93" s="32"/>
      <c r="I93" s="9"/>
      <c r="J93" s="9"/>
    </row>
    <row r="94" spans="1:10" ht="14.25" customHeight="1">
      <c r="A94" s="2"/>
      <c r="B94" s="66" t="s">
        <v>199</v>
      </c>
      <c r="C94" s="21">
        <v>0</v>
      </c>
      <c r="D94" s="21"/>
      <c r="E94" s="9">
        <v>660</v>
      </c>
      <c r="F94" s="32"/>
      <c r="I94" s="9"/>
      <c r="J94" s="9"/>
    </row>
    <row r="95" spans="1:10" ht="14.25" customHeight="1">
      <c r="A95" s="2"/>
      <c r="B95" s="35" t="s">
        <v>200</v>
      </c>
      <c r="C95" s="21">
        <v>940</v>
      </c>
      <c r="D95" s="21"/>
      <c r="E95" s="9"/>
      <c r="F95" s="32"/>
      <c r="I95" s="9"/>
      <c r="J95" s="9"/>
    </row>
    <row r="96" spans="1:10" ht="14.25" customHeight="1">
      <c r="A96" s="2"/>
      <c r="B96" s="69" t="s">
        <v>201</v>
      </c>
      <c r="C96" s="21"/>
      <c r="D96" s="21"/>
      <c r="E96" s="9"/>
      <c r="F96" s="32" t="s">
        <v>202</v>
      </c>
      <c r="G96" s="15" t="s">
        <v>71</v>
      </c>
      <c r="I96" s="9"/>
      <c r="J96" s="9"/>
    </row>
    <row r="97" spans="1:10" ht="14.25" customHeight="1">
      <c r="A97" s="2"/>
      <c r="B97" s="66" t="s">
        <v>203</v>
      </c>
      <c r="C97" s="70">
        <v>0</v>
      </c>
      <c r="D97" s="2"/>
      <c r="E97" s="9"/>
      <c r="F97" s="32"/>
      <c r="I97" s="9"/>
      <c r="J97" s="9"/>
    </row>
    <row r="98" spans="1:10" ht="14.25" customHeight="1">
      <c r="A98" s="2"/>
      <c r="B98" s="35" t="s">
        <v>204</v>
      </c>
      <c r="C98" s="21">
        <v>1200</v>
      </c>
      <c r="D98" s="21"/>
      <c r="E98" s="9"/>
      <c r="F98" s="32"/>
      <c r="I98" s="9"/>
      <c r="J98" s="9"/>
    </row>
    <row r="99" spans="1:10" ht="14.25" customHeight="1">
      <c r="A99" s="2" t="s">
        <v>687</v>
      </c>
      <c r="B99" s="35" t="s">
        <v>205</v>
      </c>
      <c r="C99" s="21">
        <v>800</v>
      </c>
      <c r="D99" s="21"/>
      <c r="E99" s="9">
        <v>800</v>
      </c>
      <c r="F99" s="32" t="s">
        <v>206</v>
      </c>
      <c r="I99" s="9"/>
      <c r="J99" s="9"/>
    </row>
    <row r="100" spans="1:10" ht="14.25" customHeight="1">
      <c r="A100" s="2"/>
      <c r="B100" s="35" t="s">
        <v>207</v>
      </c>
      <c r="C100" s="21">
        <v>825</v>
      </c>
      <c r="D100" s="21"/>
      <c r="E100" s="9"/>
      <c r="F100" s="32"/>
      <c r="I100" s="9"/>
      <c r="J100" s="9"/>
    </row>
    <row r="101" spans="1:10" ht="14.25" customHeight="1">
      <c r="A101" s="2"/>
      <c r="B101" s="35" t="s">
        <v>208</v>
      </c>
      <c r="C101" s="21">
        <v>1070</v>
      </c>
      <c r="D101" s="21"/>
      <c r="E101" s="71" t="s">
        <v>209</v>
      </c>
      <c r="F101" s="71"/>
      <c r="G101" s="72">
        <v>23177.06</v>
      </c>
      <c r="I101" s="9"/>
      <c r="J101" s="9"/>
    </row>
    <row r="102" spans="1:10" ht="14.25" customHeight="1">
      <c r="A102" s="2"/>
      <c r="B102" s="35" t="s">
        <v>210</v>
      </c>
      <c r="C102" s="21">
        <v>150</v>
      </c>
      <c r="D102" s="21"/>
      <c r="E102" s="9">
        <v>150</v>
      </c>
      <c r="F102" s="32" t="s">
        <v>211</v>
      </c>
      <c r="I102" s="9"/>
      <c r="J102" s="9"/>
    </row>
    <row r="103" spans="1:10" ht="14.25" customHeight="1">
      <c r="A103" s="2" t="s">
        <v>44</v>
      </c>
      <c r="B103" s="35" t="s">
        <v>212</v>
      </c>
      <c r="C103" s="21">
        <v>705</v>
      </c>
      <c r="D103" s="21"/>
      <c r="E103" s="9"/>
      <c r="F103" s="32" t="s">
        <v>213</v>
      </c>
      <c r="G103" s="15"/>
      <c r="I103" s="9"/>
      <c r="J103" s="9"/>
    </row>
    <row r="104" spans="1:10" ht="14.25" customHeight="1">
      <c r="A104" s="2" t="s">
        <v>44</v>
      </c>
      <c r="B104" s="35" t="s">
        <v>214</v>
      </c>
      <c r="C104" s="21"/>
      <c r="D104" s="21"/>
      <c r="E104" s="9" t="s">
        <v>686</v>
      </c>
      <c r="F104" s="32" t="s">
        <v>215</v>
      </c>
      <c r="I104" s="9"/>
      <c r="J104" s="9"/>
    </row>
    <row r="105" spans="1:10" ht="14.25" customHeight="1">
      <c r="A105" s="2"/>
      <c r="B105" s="35" t="s">
        <v>216</v>
      </c>
      <c r="C105" s="21">
        <v>290</v>
      </c>
      <c r="D105" s="21"/>
      <c r="E105" s="9"/>
      <c r="F105" s="32" t="s">
        <v>217</v>
      </c>
      <c r="I105" s="9"/>
      <c r="J105" s="9"/>
    </row>
    <row r="106" spans="1:10" ht="14.25" customHeight="1">
      <c r="A106" s="2"/>
      <c r="B106" s="35" t="s">
        <v>218</v>
      </c>
      <c r="C106" s="21">
        <v>550</v>
      </c>
      <c r="D106" s="21"/>
      <c r="E106" s="9"/>
      <c r="F106" s="32" t="s">
        <v>219</v>
      </c>
      <c r="G106" s="15"/>
      <c r="H106">
        <v>2381.9499999999998</v>
      </c>
      <c r="I106" s="9"/>
      <c r="J106" s="9"/>
    </row>
    <row r="107" spans="1:10" ht="14.25" customHeight="1">
      <c r="A107" s="2" t="s">
        <v>220</v>
      </c>
      <c r="B107" s="35" t="s">
        <v>221</v>
      </c>
      <c r="C107" s="21">
        <v>500</v>
      </c>
      <c r="D107" s="21"/>
      <c r="E107" s="9" t="s">
        <v>769</v>
      </c>
      <c r="F107" s="32" t="s">
        <v>222</v>
      </c>
      <c r="H107">
        <v>1189.83</v>
      </c>
      <c r="I107" s="9"/>
      <c r="J107" s="9"/>
    </row>
    <row r="108" spans="1:10" ht="14.25" customHeight="1">
      <c r="A108" s="2"/>
      <c r="B108" s="35" t="s">
        <v>702</v>
      </c>
      <c r="C108" s="21"/>
      <c r="D108" s="21"/>
      <c r="E108" s="9"/>
      <c r="F108" s="32" t="s">
        <v>223</v>
      </c>
      <c r="I108" s="9"/>
      <c r="J108" s="9"/>
    </row>
    <row r="109" spans="1:10" ht="14.25" customHeight="1">
      <c r="A109" s="2" t="s">
        <v>44</v>
      </c>
      <c r="B109" s="35" t="s">
        <v>224</v>
      </c>
      <c r="C109" s="21"/>
      <c r="D109" s="21"/>
      <c r="E109" s="9"/>
      <c r="F109" s="32" t="s">
        <v>225</v>
      </c>
      <c r="H109">
        <f>H106-H107</f>
        <v>1192.1199999999999</v>
      </c>
      <c r="I109" s="9"/>
      <c r="J109" s="9"/>
    </row>
    <row r="110" spans="1:10" ht="14.25" customHeight="1">
      <c r="A110" s="2" t="s">
        <v>44</v>
      </c>
      <c r="B110" s="35" t="s">
        <v>732</v>
      </c>
      <c r="C110" s="21"/>
      <c r="D110" s="21"/>
      <c r="E110" s="9"/>
      <c r="F110" s="32"/>
      <c r="G110" s="15"/>
      <c r="I110" s="9"/>
      <c r="J110" s="9"/>
    </row>
    <row r="111" spans="1:10" ht="14.25" customHeight="1">
      <c r="A111" s="2" t="s">
        <v>50</v>
      </c>
      <c r="B111" s="35"/>
      <c r="C111" s="21"/>
      <c r="D111" s="21"/>
      <c r="E111" s="9"/>
      <c r="F111" s="32"/>
      <c r="G111" s="15"/>
      <c r="H111" s="15"/>
      <c r="I111" s="9"/>
      <c r="J111" s="9"/>
    </row>
    <row r="112" spans="1:10" ht="14.25" customHeight="1">
      <c r="A112" s="2" t="s">
        <v>44</v>
      </c>
      <c r="B112" s="35" t="s">
        <v>226</v>
      </c>
      <c r="C112" s="21">
        <v>550</v>
      </c>
      <c r="D112" s="21"/>
      <c r="E112" s="9"/>
      <c r="F112" s="32" t="s">
        <v>227</v>
      </c>
      <c r="G112" s="15"/>
      <c r="H112" s="15"/>
      <c r="I112" s="9"/>
      <c r="J112" s="9"/>
    </row>
    <row r="113" spans="1:10" ht="14.25" customHeight="1">
      <c r="A113" s="2"/>
      <c r="B113" s="35" t="s">
        <v>738</v>
      </c>
      <c r="C113" s="21"/>
      <c r="D113" s="21"/>
      <c r="E113" s="9"/>
      <c r="F113" s="32"/>
      <c r="G113" s="15"/>
      <c r="H113" s="15"/>
      <c r="I113" s="9"/>
      <c r="J113" s="9"/>
    </row>
    <row r="114" spans="1:10" ht="14.25" customHeight="1">
      <c r="A114" s="2"/>
      <c r="B114" s="35"/>
      <c r="C114" s="21"/>
      <c r="D114" s="21"/>
      <c r="E114" s="9"/>
      <c r="F114" s="32"/>
      <c r="G114" s="15"/>
      <c r="H114" s="15"/>
      <c r="I114" s="9"/>
      <c r="J114" s="9"/>
    </row>
    <row r="115" spans="1:10" ht="14.25" customHeight="1">
      <c r="A115" s="2"/>
      <c r="B115" s="35"/>
      <c r="C115" s="21"/>
      <c r="D115" s="21"/>
      <c r="E115" s="9"/>
      <c r="F115" s="32"/>
      <c r="G115" s="15"/>
      <c r="H115" s="15"/>
      <c r="I115" s="9"/>
      <c r="J115" s="9"/>
    </row>
    <row r="116" spans="1:10" ht="14.25" customHeight="1">
      <c r="A116" s="2" t="s">
        <v>44</v>
      </c>
      <c r="B116" s="49" t="s">
        <v>228</v>
      </c>
      <c r="C116" s="21"/>
      <c r="D116" s="21"/>
      <c r="E116" s="9"/>
      <c r="F116" s="32" t="s">
        <v>229</v>
      </c>
      <c r="I116" s="9"/>
      <c r="J116" s="9"/>
    </row>
    <row r="117" spans="1:10" ht="14.25" customHeight="1">
      <c r="A117" s="2"/>
      <c r="B117" s="35" t="s">
        <v>703</v>
      </c>
      <c r="C117" s="21">
        <v>1621</v>
      </c>
      <c r="D117" s="21"/>
      <c r="E117" s="9"/>
      <c r="F117" s="32" t="s">
        <v>230</v>
      </c>
      <c r="I117" s="9"/>
      <c r="J117" s="9"/>
    </row>
    <row r="118" spans="1:10" ht="14.25" customHeight="1">
      <c r="A118" s="73"/>
      <c r="B118" s="74" t="s">
        <v>231</v>
      </c>
      <c r="C118" s="29">
        <f>SUM(C4:C117)</f>
        <v>61228</v>
      </c>
      <c r="D118" s="29"/>
      <c r="E118" s="75">
        <f>C118-D118</f>
        <v>61228</v>
      </c>
      <c r="F118" s="32"/>
      <c r="I118" s="9"/>
      <c r="J118" s="9"/>
    </row>
    <row r="119" spans="1:10" ht="14.25" customHeight="1">
      <c r="C119" s="9"/>
      <c r="D119" s="9"/>
      <c r="E119" s="9"/>
      <c r="F119" s="32"/>
      <c r="I119" s="9"/>
      <c r="J119" s="9"/>
    </row>
    <row r="120" spans="1:10" ht="14.25" customHeight="1">
      <c r="C120" s="9"/>
      <c r="D120" s="9"/>
      <c r="E120" s="9"/>
      <c r="F120" s="32"/>
      <c r="I120" s="9"/>
      <c r="J120" s="9"/>
    </row>
    <row r="121" spans="1:10" ht="14.25" customHeight="1">
      <c r="C121" s="9"/>
      <c r="D121" s="9"/>
      <c r="E121" s="32"/>
      <c r="H121" s="9"/>
      <c r="I121" s="9"/>
    </row>
    <row r="122" spans="1:10" ht="14.25" customHeight="1">
      <c r="B122" s="76" t="s">
        <v>232</v>
      </c>
      <c r="C122" s="21"/>
      <c r="D122" s="9"/>
      <c r="E122" s="9"/>
      <c r="F122" s="32"/>
      <c r="I122" s="9"/>
      <c r="J122" s="9"/>
    </row>
    <row r="123" spans="1:10" ht="14.25" customHeight="1">
      <c r="B123" s="2" t="s">
        <v>233</v>
      </c>
      <c r="C123" s="21">
        <v>800</v>
      </c>
      <c r="D123" s="9"/>
      <c r="E123" s="9"/>
      <c r="F123" s="32"/>
      <c r="I123" s="9"/>
      <c r="J123" s="9"/>
    </row>
    <row r="124" spans="1:10" ht="14.25" customHeight="1">
      <c r="B124" s="2" t="s">
        <v>234</v>
      </c>
      <c r="C124" s="21">
        <v>800</v>
      </c>
      <c r="D124" s="9"/>
      <c r="E124" s="9"/>
      <c r="F124" s="65" t="s">
        <v>235</v>
      </c>
      <c r="G124" s="77" t="s">
        <v>71</v>
      </c>
      <c r="H124" s="33"/>
      <c r="I124" s="75"/>
      <c r="J124" s="75"/>
    </row>
    <row r="125" spans="1:10" ht="14.25" customHeight="1">
      <c r="B125" s="2" t="s">
        <v>236</v>
      </c>
      <c r="C125" s="21">
        <v>900</v>
      </c>
      <c r="D125" s="9"/>
      <c r="E125" s="9"/>
      <c r="F125" s="32"/>
      <c r="I125" s="33"/>
    </row>
    <row r="126" spans="1:10" ht="14.25" customHeight="1">
      <c r="B126" s="2" t="s">
        <v>237</v>
      </c>
      <c r="C126" s="21">
        <v>900</v>
      </c>
      <c r="D126" s="9"/>
      <c r="E126" s="9"/>
      <c r="F126" s="32"/>
    </row>
    <row r="127" spans="1:10" ht="14.25" customHeight="1">
      <c r="B127" s="2" t="s">
        <v>14</v>
      </c>
      <c r="C127" s="21">
        <f>SUM(C123:C126)</f>
        <v>3400</v>
      </c>
      <c r="D127" s="9"/>
      <c r="E127" s="9"/>
    </row>
    <row r="128" spans="1:10" ht="14.25" customHeight="1">
      <c r="C128" s="9"/>
      <c r="D128" s="9"/>
      <c r="E128" s="9"/>
    </row>
    <row r="129" spans="2:7" ht="14.25" customHeight="1">
      <c r="B129" s="76" t="s">
        <v>238</v>
      </c>
      <c r="C129" s="21"/>
      <c r="D129" s="9"/>
      <c r="E129" s="9" t="s">
        <v>92</v>
      </c>
      <c r="F129" s="28">
        <v>1950</v>
      </c>
    </row>
    <row r="130" spans="2:7" ht="14.25" customHeight="1">
      <c r="B130" s="2" t="s">
        <v>239</v>
      </c>
      <c r="C130" s="21">
        <v>1400</v>
      </c>
      <c r="D130" s="9"/>
      <c r="E130" s="9" t="s">
        <v>240</v>
      </c>
      <c r="F130" s="28">
        <v>1500</v>
      </c>
    </row>
    <row r="131" spans="2:7" ht="14.25" customHeight="1">
      <c r="B131" s="2" t="s">
        <v>241</v>
      </c>
      <c r="C131" s="21">
        <v>1000</v>
      </c>
      <c r="D131" s="9"/>
      <c r="E131" s="9" t="s">
        <v>242</v>
      </c>
      <c r="F131" s="28">
        <v>1500</v>
      </c>
    </row>
    <row r="132" spans="2:7" ht="14.25" customHeight="1">
      <c r="B132" s="2" t="s">
        <v>243</v>
      </c>
      <c r="C132" s="21">
        <v>1000</v>
      </c>
      <c r="D132" s="9"/>
      <c r="E132" s="9" t="s">
        <v>244</v>
      </c>
      <c r="F132" s="27">
        <v>810</v>
      </c>
    </row>
    <row r="133" spans="2:7" ht="14.25" customHeight="1">
      <c r="B133" s="2" t="s">
        <v>245</v>
      </c>
      <c r="C133" s="21">
        <v>235</v>
      </c>
      <c r="D133" s="9"/>
      <c r="E133" s="9" t="s">
        <v>246</v>
      </c>
      <c r="G133" s="15" t="s">
        <v>247</v>
      </c>
    </row>
    <row r="134" spans="2:7" ht="14.25" customHeight="1">
      <c r="B134" s="2" t="s">
        <v>248</v>
      </c>
      <c r="C134" s="21">
        <v>235</v>
      </c>
      <c r="D134" s="9"/>
      <c r="E134" s="9" t="s">
        <v>249</v>
      </c>
      <c r="F134" s="27">
        <v>810</v>
      </c>
    </row>
    <row r="135" spans="2:7" ht="14.25" customHeight="1">
      <c r="B135" s="2" t="s">
        <v>250</v>
      </c>
      <c r="C135" s="21">
        <v>235</v>
      </c>
      <c r="D135" s="9"/>
      <c r="E135" s="9"/>
    </row>
    <row r="136" spans="2:7" ht="14.25" customHeight="1">
      <c r="B136" s="2" t="s">
        <v>251</v>
      </c>
      <c r="C136" s="21">
        <v>131.56</v>
      </c>
      <c r="D136" s="9"/>
      <c r="E136" s="9"/>
    </row>
    <row r="137" spans="2:7" ht="14.25" customHeight="1">
      <c r="B137" s="2"/>
      <c r="C137" s="21">
        <f>SUM(C129:C136)</f>
        <v>4236.5600000000004</v>
      </c>
      <c r="D137" s="9"/>
      <c r="E137" s="9"/>
      <c r="F137" s="28">
        <f>SUM(F129:F136)</f>
        <v>6570</v>
      </c>
    </row>
    <row r="138" spans="2:7" ht="14.25" customHeight="1">
      <c r="C138" s="9"/>
      <c r="D138" s="9"/>
      <c r="E138" s="9"/>
    </row>
    <row r="139" spans="2:7" ht="14.25" customHeight="1">
      <c r="B139" s="76" t="s">
        <v>252</v>
      </c>
      <c r="C139" s="21"/>
      <c r="D139" s="9"/>
      <c r="E139" s="9"/>
    </row>
    <row r="140" spans="2:7" ht="14.25" customHeight="1">
      <c r="B140" s="2" t="s">
        <v>253</v>
      </c>
      <c r="C140" s="21">
        <v>1400</v>
      </c>
      <c r="D140" s="9"/>
      <c r="E140" s="9"/>
    </row>
    <row r="141" spans="2:7" ht="14.25" customHeight="1">
      <c r="B141" s="2" t="s">
        <v>254</v>
      </c>
      <c r="C141" s="21">
        <v>1000</v>
      </c>
      <c r="D141" s="9"/>
      <c r="E141" s="9"/>
    </row>
    <row r="142" spans="2:7" ht="14.25" customHeight="1">
      <c r="B142" s="2" t="s">
        <v>255</v>
      </c>
      <c r="C142" s="21">
        <v>1850</v>
      </c>
      <c r="D142" s="9"/>
      <c r="E142" s="9"/>
    </row>
    <row r="143" spans="2:7" ht="14.25" customHeight="1">
      <c r="B143" s="2" t="s">
        <v>256</v>
      </c>
      <c r="C143" s="21">
        <v>500</v>
      </c>
      <c r="D143" s="9"/>
      <c r="E143" s="9"/>
    </row>
    <row r="144" spans="2:7" ht="14.25" customHeight="1">
      <c r="B144" s="2" t="s">
        <v>14</v>
      </c>
      <c r="C144" s="21">
        <f>SUM(C140:C143)</f>
        <v>4750</v>
      </c>
      <c r="D144" s="9"/>
      <c r="E144" s="9"/>
    </row>
    <row r="145" spans="2:5" ht="14.25" customHeight="1">
      <c r="C145" s="9"/>
      <c r="D145" s="9"/>
      <c r="E145" s="9"/>
    </row>
    <row r="146" spans="2:5" ht="14.25" customHeight="1">
      <c r="B146" s="76" t="s">
        <v>257</v>
      </c>
      <c r="C146" s="2"/>
      <c r="D146" s="9"/>
      <c r="E146" s="9"/>
    </row>
    <row r="147" spans="2:5" ht="14.25" customHeight="1">
      <c r="B147" s="2" t="s">
        <v>256</v>
      </c>
      <c r="C147" s="21">
        <v>500</v>
      </c>
      <c r="D147" s="9"/>
      <c r="E147" s="9"/>
    </row>
    <row r="148" spans="2:5" ht="14.25" customHeight="1">
      <c r="B148" s="2" t="s">
        <v>14</v>
      </c>
      <c r="C148" s="21">
        <v>500</v>
      </c>
      <c r="D148" s="9"/>
      <c r="E148" s="9"/>
    </row>
    <row r="149" spans="2:5" ht="14.25" customHeight="1">
      <c r="C149" s="9"/>
      <c r="D149" s="9"/>
      <c r="E149" s="9"/>
    </row>
    <row r="150" spans="2:5" ht="14.25" customHeight="1">
      <c r="B150" s="76" t="s">
        <v>258</v>
      </c>
      <c r="C150" s="21"/>
      <c r="D150" s="9"/>
      <c r="E150" s="9"/>
    </row>
    <row r="151" spans="2:5" ht="14.25" customHeight="1">
      <c r="B151" s="2" t="s">
        <v>259</v>
      </c>
      <c r="C151" s="21">
        <v>500</v>
      </c>
      <c r="D151" s="9"/>
      <c r="E151" s="9"/>
    </row>
    <row r="152" spans="2:5" ht="14.25" customHeight="1">
      <c r="B152" s="2" t="s">
        <v>14</v>
      </c>
      <c r="C152" s="21">
        <v>500</v>
      </c>
      <c r="D152" s="9"/>
      <c r="E152" s="9"/>
    </row>
    <row r="153" spans="2:5" ht="14.25" customHeight="1">
      <c r="C153" s="9"/>
      <c r="D153" s="9"/>
      <c r="E153" s="9"/>
    </row>
    <row r="154" spans="2:5" ht="14.25" customHeight="1">
      <c r="B154" s="73" t="s">
        <v>260</v>
      </c>
      <c r="C154" s="29">
        <f>C127+C137+C144+C148+C152</f>
        <v>13386.560000000001</v>
      </c>
      <c r="D154" s="9"/>
      <c r="E154" s="9"/>
    </row>
    <row r="155" spans="2:5" ht="14.25" customHeight="1">
      <c r="C155" s="9"/>
      <c r="D155" s="9"/>
      <c r="E155" s="9"/>
    </row>
    <row r="156" spans="2:5" ht="14.25" customHeight="1">
      <c r="C156" s="9"/>
      <c r="D156" s="9"/>
      <c r="E156" s="9"/>
    </row>
    <row r="157" spans="2:5" ht="14.25" customHeight="1">
      <c r="B157" s="15" t="s">
        <v>261</v>
      </c>
      <c r="C157" s="15">
        <v>500</v>
      </c>
      <c r="D157" s="9"/>
      <c r="E157" s="9"/>
    </row>
    <row r="158" spans="2:5" ht="14.25" customHeight="1">
      <c r="C158" s="9"/>
      <c r="D158" s="9"/>
      <c r="E158" s="9"/>
    </row>
    <row r="159" spans="2:5" ht="14.25" customHeight="1">
      <c r="B159" s="15" t="s">
        <v>262</v>
      </c>
      <c r="C159" s="9"/>
      <c r="D159" s="9"/>
      <c r="E159" s="9"/>
    </row>
    <row r="160" spans="2:5" ht="14.25" customHeight="1">
      <c r="B160" s="15" t="s">
        <v>263</v>
      </c>
      <c r="C160" s="9">
        <v>1000</v>
      </c>
      <c r="D160" s="9"/>
      <c r="E160" s="9"/>
    </row>
    <row r="161" spans="1:5" ht="14.25" customHeight="1">
      <c r="B161" s="15" t="s">
        <v>264</v>
      </c>
      <c r="C161" s="9">
        <v>200</v>
      </c>
      <c r="D161" s="9"/>
      <c r="E161" s="9"/>
    </row>
    <row r="162" spans="1:5" ht="14.25" customHeight="1">
      <c r="B162" s="15" t="s">
        <v>265</v>
      </c>
      <c r="C162" s="9">
        <v>2000</v>
      </c>
      <c r="D162" s="9"/>
      <c r="E162" s="9"/>
    </row>
    <row r="163" spans="1:5" ht="14.25" customHeight="1">
      <c r="B163" s="15" t="s">
        <v>266</v>
      </c>
      <c r="C163" s="9">
        <v>1800</v>
      </c>
      <c r="D163" s="9"/>
      <c r="E163" s="9"/>
    </row>
    <row r="164" spans="1:5" ht="14.25" customHeight="1">
      <c r="C164" s="9">
        <f>SUM(C160:C163)</f>
        <v>5000</v>
      </c>
      <c r="D164" s="9"/>
      <c r="E164" s="9"/>
    </row>
    <row r="165" spans="1:5" ht="14.25" customHeight="1">
      <c r="C165" s="9"/>
      <c r="D165" s="9"/>
      <c r="E165" s="9"/>
    </row>
    <row r="166" spans="1:5" ht="14.25" customHeight="1">
      <c r="A166" s="78" t="s">
        <v>267</v>
      </c>
      <c r="B166" s="15" t="s">
        <v>263</v>
      </c>
      <c r="C166" s="9">
        <v>1000</v>
      </c>
      <c r="D166" s="9"/>
      <c r="E166" s="9"/>
    </row>
    <row r="167" spans="1:5" ht="14.25" customHeight="1">
      <c r="A167" s="78" t="s">
        <v>268</v>
      </c>
      <c r="B167" s="15" t="s">
        <v>264</v>
      </c>
      <c r="C167" s="9">
        <v>0</v>
      </c>
      <c r="D167" s="9"/>
      <c r="E167" s="9"/>
    </row>
    <row r="168" spans="1:5" ht="14.25" customHeight="1">
      <c r="A168" s="78" t="s">
        <v>269</v>
      </c>
      <c r="B168" s="15" t="s">
        <v>270</v>
      </c>
      <c r="C168" s="9">
        <v>2000</v>
      </c>
      <c r="D168" s="9"/>
      <c r="E168" s="9"/>
    </row>
    <row r="169" spans="1:5" ht="14.25" customHeight="1">
      <c r="A169" s="78" t="s">
        <v>269</v>
      </c>
      <c r="B169" s="15" t="s">
        <v>266</v>
      </c>
      <c r="C169" s="9">
        <v>1800</v>
      </c>
      <c r="D169" s="9"/>
    </row>
    <row r="170" spans="1:5" ht="14.25" customHeight="1">
      <c r="A170" s="78" t="s">
        <v>267</v>
      </c>
      <c r="B170" s="15" t="s">
        <v>271</v>
      </c>
      <c r="C170" s="9">
        <v>1000</v>
      </c>
      <c r="D170" s="9"/>
    </row>
    <row r="171" spans="1:5" ht="14.25" customHeight="1">
      <c r="A171" s="78" t="s">
        <v>269</v>
      </c>
      <c r="B171" s="15" t="s">
        <v>272</v>
      </c>
      <c r="C171" s="9">
        <v>1800</v>
      </c>
      <c r="D171" s="9"/>
    </row>
    <row r="172" spans="1:5" ht="14.25" customHeight="1">
      <c r="C172" s="9">
        <f>SUM(C166:C171)</f>
        <v>7600</v>
      </c>
      <c r="D172" s="9"/>
    </row>
    <row r="173" spans="1:5" ht="14.25" customHeight="1">
      <c r="C173" s="9"/>
      <c r="D173" s="9"/>
    </row>
    <row r="174" spans="1:5" ht="14.25" customHeight="1">
      <c r="B174" s="15" t="s">
        <v>273</v>
      </c>
      <c r="C174" s="9"/>
      <c r="D174" s="9"/>
    </row>
    <row r="175" spans="1:5" ht="14.25" customHeight="1">
      <c r="C175" s="9"/>
      <c r="D175" s="9"/>
    </row>
    <row r="176" spans="1:5" ht="14.25" customHeight="1">
      <c r="C176" s="9"/>
      <c r="D176" s="9"/>
    </row>
    <row r="177" spans="2:4" ht="14.25" customHeight="1">
      <c r="C177" s="9"/>
      <c r="D177" s="9"/>
    </row>
    <row r="178" spans="2:4" ht="14.25" customHeight="1">
      <c r="C178" s="9"/>
      <c r="D178" s="9"/>
    </row>
    <row r="179" spans="2:4" ht="14.25" customHeight="1">
      <c r="C179" s="9"/>
      <c r="D179" s="9"/>
    </row>
    <row r="180" spans="2:4" ht="14.25" customHeight="1">
      <c r="C180" s="9"/>
      <c r="D180" s="9"/>
    </row>
    <row r="181" spans="2:4" ht="14.25" customHeight="1">
      <c r="C181" s="9"/>
      <c r="D181" s="9"/>
    </row>
    <row r="182" spans="2:4" ht="14.25" customHeight="1">
      <c r="B182" s="33"/>
      <c r="C182" s="75"/>
      <c r="D182" s="9"/>
    </row>
    <row r="183" spans="2:4" ht="14.25" customHeight="1">
      <c r="B183" s="33"/>
      <c r="C183" s="75"/>
      <c r="D183" s="9"/>
    </row>
    <row r="184" spans="2:4" ht="14.25" customHeight="1">
      <c r="C184" s="9"/>
    </row>
    <row r="185" spans="2:4" ht="14.25" customHeight="1">
      <c r="C185" s="9"/>
    </row>
    <row r="186" spans="2:4" ht="14.25" customHeight="1"/>
    <row r="187" spans="2:4" ht="14.25" customHeight="1"/>
    <row r="188" spans="2:4" ht="14.25" customHeight="1"/>
    <row r="189" spans="2:4" ht="14.25" customHeight="1"/>
    <row r="190" spans="2:4" ht="14.25" customHeight="1"/>
    <row r="191" spans="2:4" ht="14.25" customHeight="1"/>
    <row r="192" spans="2:4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pageMargins left="0.511811024" right="0.511811024" top="0.78740157499999996" bottom="0.78740157499999996" header="0" footer="0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E28" sqref="E28"/>
    </sheetView>
  </sheetViews>
  <sheetFormatPr defaultColWidth="14.44140625" defaultRowHeight="15" customHeight="1"/>
  <cols>
    <col min="1" max="4" width="8.6640625" customWidth="1"/>
    <col min="5" max="5" width="18.88671875" customWidth="1"/>
    <col min="6" max="6" width="20" customWidth="1"/>
    <col min="7" max="26" width="8.6640625" customWidth="1"/>
  </cols>
  <sheetData>
    <row r="1" spans="1:6" ht="14.25" customHeight="1">
      <c r="A1" s="15" t="s">
        <v>274</v>
      </c>
      <c r="E1" t="s">
        <v>727</v>
      </c>
    </row>
    <row r="2" spans="1:6" ht="14.25" customHeight="1">
      <c r="F2" s="172">
        <v>5105.37</v>
      </c>
    </row>
    <row r="3" spans="1:6" ht="14.25" customHeight="1">
      <c r="E3" t="s">
        <v>723</v>
      </c>
      <c r="F3" s="172">
        <v>1279.17</v>
      </c>
    </row>
    <row r="4" spans="1:6" ht="14.25" customHeight="1">
      <c r="E4" t="s">
        <v>724</v>
      </c>
      <c r="F4" s="172">
        <v>2984.72</v>
      </c>
    </row>
    <row r="5" spans="1:6" ht="14.25" customHeight="1">
      <c r="E5" t="s">
        <v>725</v>
      </c>
    </row>
    <row r="6" spans="1:6" ht="14.25" customHeight="1">
      <c r="E6" t="s">
        <v>726</v>
      </c>
      <c r="F6" s="172">
        <f>F2-F3-F4</f>
        <v>841.48</v>
      </c>
    </row>
    <row r="7" spans="1:6" ht="14.25" customHeight="1"/>
    <row r="8" spans="1:6" ht="14.25" customHeight="1"/>
    <row r="9" spans="1:6" ht="14.25" customHeight="1">
      <c r="F9" s="172">
        <v>4263.8900000000003</v>
      </c>
    </row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000"/>
  <sheetViews>
    <sheetView workbookViewId="0">
      <selection activeCell="H15" sqref="H15"/>
    </sheetView>
  </sheetViews>
  <sheetFormatPr defaultColWidth="14.44140625" defaultRowHeight="15" customHeight="1"/>
  <cols>
    <col min="1" max="1" width="7.44140625" customWidth="1"/>
    <col min="2" max="2" width="40.6640625" customWidth="1"/>
    <col min="3" max="4" width="26.109375" customWidth="1"/>
    <col min="5" max="5" width="26.21875" customWidth="1"/>
    <col min="6" max="6" width="18.21875" customWidth="1"/>
    <col min="7" max="26" width="8.6640625" customWidth="1"/>
  </cols>
  <sheetData>
    <row r="1" spans="2:6" ht="14.25" customHeight="1"/>
    <row r="2" spans="2:6" ht="14.25" customHeight="1">
      <c r="B2" s="149" t="s">
        <v>646</v>
      </c>
      <c r="C2" s="153" t="s">
        <v>647</v>
      </c>
      <c r="D2" s="150" t="s">
        <v>648</v>
      </c>
      <c r="E2" s="153" t="s">
        <v>652</v>
      </c>
      <c r="F2" s="153" t="s">
        <v>680</v>
      </c>
    </row>
    <row r="3" spans="2:6" ht="14.25" customHeight="1">
      <c r="B3" s="151"/>
      <c r="C3" s="154"/>
      <c r="D3" s="152" t="s">
        <v>651</v>
      </c>
      <c r="E3" s="154" t="s">
        <v>653</v>
      </c>
      <c r="F3" s="154" t="s">
        <v>681</v>
      </c>
    </row>
    <row r="4" spans="2:6" ht="14.25" customHeight="1">
      <c r="B4" s="156" t="s">
        <v>649</v>
      </c>
      <c r="C4" s="157" t="s">
        <v>650</v>
      </c>
      <c r="D4" s="159">
        <v>150</v>
      </c>
      <c r="E4" s="159">
        <v>650</v>
      </c>
      <c r="F4" s="162" t="s">
        <v>682</v>
      </c>
    </row>
    <row r="5" spans="2:6" ht="14.25" customHeight="1">
      <c r="B5" s="156" t="s">
        <v>654</v>
      </c>
      <c r="C5" s="157" t="s">
        <v>655</v>
      </c>
      <c r="D5" s="159">
        <v>150</v>
      </c>
      <c r="E5" s="159">
        <v>650</v>
      </c>
      <c r="F5" s="162" t="s">
        <v>682</v>
      </c>
    </row>
    <row r="6" spans="2:6" ht="14.25" customHeight="1">
      <c r="B6" s="156" t="s">
        <v>656</v>
      </c>
      <c r="C6" s="157" t="s">
        <v>657</v>
      </c>
      <c r="D6" s="159">
        <v>200</v>
      </c>
      <c r="E6" s="159">
        <v>800</v>
      </c>
      <c r="F6" s="162" t="s">
        <v>682</v>
      </c>
    </row>
    <row r="7" spans="2:6" ht="14.25" customHeight="1">
      <c r="B7" s="156" t="s">
        <v>658</v>
      </c>
      <c r="C7" s="157" t="s">
        <v>659</v>
      </c>
      <c r="D7" s="159">
        <v>200</v>
      </c>
      <c r="E7" s="159">
        <v>800</v>
      </c>
      <c r="F7" s="162" t="s">
        <v>682</v>
      </c>
    </row>
    <row r="8" spans="2:6" ht="14.25" customHeight="1">
      <c r="B8" s="156" t="s">
        <v>660</v>
      </c>
      <c r="C8" s="157" t="s">
        <v>661</v>
      </c>
      <c r="D8" s="159">
        <v>200</v>
      </c>
      <c r="E8" s="159">
        <v>800</v>
      </c>
      <c r="F8" s="162" t="s">
        <v>682</v>
      </c>
    </row>
    <row r="9" spans="2:6" ht="14.25" customHeight="1">
      <c r="B9" s="156" t="s">
        <v>662</v>
      </c>
      <c r="C9" s="157" t="s">
        <v>663</v>
      </c>
      <c r="D9" s="159">
        <v>150</v>
      </c>
      <c r="E9" s="159">
        <v>650</v>
      </c>
      <c r="F9" s="162" t="s">
        <v>682</v>
      </c>
    </row>
    <row r="10" spans="2:6" ht="14.25" customHeight="1">
      <c r="B10" s="156" t="s">
        <v>664</v>
      </c>
      <c r="C10" s="157" t="s">
        <v>665</v>
      </c>
      <c r="D10" s="159">
        <v>180</v>
      </c>
      <c r="E10" s="159">
        <v>250</v>
      </c>
      <c r="F10" s="162" t="s">
        <v>682</v>
      </c>
    </row>
    <row r="11" spans="2:6" ht="14.25" customHeight="1">
      <c r="B11" s="156" t="s">
        <v>666</v>
      </c>
      <c r="C11" s="157" t="s">
        <v>683</v>
      </c>
      <c r="D11" s="159">
        <v>180</v>
      </c>
      <c r="E11" s="159">
        <v>250</v>
      </c>
      <c r="F11" s="161"/>
    </row>
    <row r="12" spans="2:6" ht="14.25" customHeight="1">
      <c r="B12" s="156" t="s">
        <v>667</v>
      </c>
      <c r="C12" s="157" t="s">
        <v>202</v>
      </c>
      <c r="D12" s="159">
        <v>200</v>
      </c>
      <c r="E12" s="159">
        <v>1000</v>
      </c>
      <c r="F12" s="161"/>
    </row>
    <row r="13" spans="2:6" ht="14.25" customHeight="1">
      <c r="B13" s="156" t="s">
        <v>669</v>
      </c>
      <c r="C13" s="157" t="s">
        <v>671</v>
      </c>
      <c r="D13" s="159">
        <v>200</v>
      </c>
      <c r="E13" s="159">
        <v>650</v>
      </c>
      <c r="F13" s="161"/>
    </row>
    <row r="14" spans="2:6" ht="14.25" customHeight="1">
      <c r="B14" s="156" t="s">
        <v>670</v>
      </c>
      <c r="C14" s="157" t="s">
        <v>672</v>
      </c>
      <c r="D14" s="159">
        <v>180</v>
      </c>
      <c r="E14" s="159">
        <v>250</v>
      </c>
      <c r="F14" s="161"/>
    </row>
    <row r="15" spans="2:6" ht="14.25" customHeight="1">
      <c r="B15" s="156" t="s">
        <v>673</v>
      </c>
      <c r="C15" s="157" t="s">
        <v>674</v>
      </c>
      <c r="D15" s="159">
        <v>180</v>
      </c>
      <c r="E15" s="159">
        <v>250</v>
      </c>
      <c r="F15" s="161"/>
    </row>
    <row r="16" spans="2:6" ht="14.25" customHeight="1">
      <c r="B16" s="156" t="s">
        <v>675</v>
      </c>
      <c r="C16" s="157" t="s">
        <v>97</v>
      </c>
      <c r="D16" s="159">
        <v>200</v>
      </c>
      <c r="E16" s="159">
        <v>850</v>
      </c>
      <c r="F16" s="161"/>
    </row>
    <row r="17" spans="2:6" ht="14.25" customHeight="1">
      <c r="B17" s="156" t="s">
        <v>676</v>
      </c>
      <c r="C17" s="157" t="s">
        <v>112</v>
      </c>
      <c r="D17" s="159">
        <v>200</v>
      </c>
      <c r="E17" s="159">
        <v>1000</v>
      </c>
      <c r="F17" s="161"/>
    </row>
    <row r="18" spans="2:6" ht="14.25" customHeight="1">
      <c r="B18" s="156" t="s">
        <v>677</v>
      </c>
      <c r="C18" s="157" t="s">
        <v>65</v>
      </c>
      <c r="D18" s="159">
        <v>150</v>
      </c>
      <c r="E18" s="159">
        <v>270</v>
      </c>
      <c r="F18" s="161"/>
    </row>
    <row r="19" spans="2:6" ht="14.25" customHeight="1">
      <c r="B19" s="156" t="s">
        <v>678</v>
      </c>
      <c r="C19" s="157" t="s">
        <v>679</v>
      </c>
      <c r="D19" s="159">
        <v>150</v>
      </c>
      <c r="E19" s="159">
        <v>650</v>
      </c>
      <c r="F19" s="161"/>
    </row>
    <row r="20" spans="2:6" ht="14.25" customHeight="1">
      <c r="B20" s="155"/>
      <c r="C20" s="158"/>
      <c r="D20" s="159"/>
      <c r="E20" s="159"/>
      <c r="F20" s="161"/>
    </row>
    <row r="21" spans="2:6" ht="14.25" customHeight="1">
      <c r="B21" s="155"/>
      <c r="C21" s="158"/>
      <c r="D21" s="159"/>
      <c r="E21" s="159"/>
      <c r="F21" s="161"/>
    </row>
    <row r="22" spans="2:6" ht="14.25" customHeight="1">
      <c r="B22" s="155"/>
      <c r="C22" s="158"/>
      <c r="D22" s="159"/>
      <c r="E22" s="159"/>
      <c r="F22" s="161"/>
    </row>
    <row r="23" spans="2:6" ht="14.25" customHeight="1">
      <c r="B23" s="155"/>
      <c r="C23" s="158"/>
      <c r="D23" s="159"/>
      <c r="E23" s="159"/>
      <c r="F23" s="161"/>
    </row>
    <row r="24" spans="2:6" ht="14.25" customHeight="1">
      <c r="B24" s="155"/>
      <c r="C24" s="158"/>
      <c r="D24" s="159">
        <f>SUM(D4:D23)</f>
        <v>2870</v>
      </c>
      <c r="E24" s="159">
        <f>SUM(E4:E23)</f>
        <v>9770</v>
      </c>
      <c r="F24" s="161"/>
    </row>
    <row r="25" spans="2:6" ht="14.25" customHeight="1"/>
    <row r="26" spans="2:6" ht="14.25" customHeight="1"/>
    <row r="27" spans="2:6" ht="14.25" customHeight="1"/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spans="3:3" ht="14.25" customHeight="1"/>
    <row r="34" spans="3:3" ht="14.25" customHeight="1"/>
    <row r="35" spans="3:3" ht="14.25" customHeight="1"/>
    <row r="36" spans="3:3" ht="14.25" customHeight="1"/>
    <row r="37" spans="3:3" ht="14.25" customHeight="1"/>
    <row r="38" spans="3:3" ht="14.25" customHeight="1"/>
    <row r="39" spans="3:3" ht="14.25" customHeight="1"/>
    <row r="40" spans="3:3" ht="14.25" customHeight="1"/>
    <row r="41" spans="3:3" ht="14.25" customHeight="1"/>
    <row r="42" spans="3:3" ht="14.25" customHeight="1">
      <c r="C42" s="160" t="s">
        <v>668</v>
      </c>
    </row>
    <row r="43" spans="3:3" ht="14.25" customHeight="1"/>
    <row r="44" spans="3:3" ht="14.25" customHeight="1"/>
    <row r="45" spans="3:3" ht="14.25" customHeight="1"/>
    <row r="46" spans="3:3" ht="14.25" customHeight="1"/>
    <row r="47" spans="3:3" ht="14.25" customHeight="1"/>
    <row r="48" spans="3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topLeftCell="A72" workbookViewId="0">
      <selection activeCell="B81" sqref="B81"/>
    </sheetView>
  </sheetViews>
  <sheetFormatPr defaultColWidth="14.44140625" defaultRowHeight="15" customHeight="1"/>
  <cols>
    <col min="1" max="1" width="38.33203125" customWidth="1"/>
    <col min="2" max="2" width="26.88671875" customWidth="1"/>
    <col min="3" max="3" width="8.6640625" customWidth="1"/>
    <col min="4" max="4" width="17.5546875" customWidth="1"/>
    <col min="5" max="6" width="8.6640625" customWidth="1"/>
    <col min="11" max="11" width="16.33203125" customWidth="1"/>
  </cols>
  <sheetData>
    <row r="1" spans="1:13" ht="14.25" customHeight="1"/>
    <row r="2" spans="1:13" ht="14.25" customHeight="1">
      <c r="A2" s="76" t="s">
        <v>232</v>
      </c>
      <c r="B2" s="21"/>
    </row>
    <row r="3" spans="1:13" ht="14.25" customHeight="1">
      <c r="A3" s="2" t="s">
        <v>233</v>
      </c>
      <c r="B3" s="21">
        <v>800</v>
      </c>
    </row>
    <row r="4" spans="1:13" ht="14.25" customHeight="1">
      <c r="A4" s="2" t="s">
        <v>234</v>
      </c>
      <c r="B4" s="21">
        <v>800</v>
      </c>
      <c r="C4" s="9"/>
      <c r="D4" s="15"/>
      <c r="E4" s="15"/>
      <c r="F4" s="15"/>
      <c r="G4" s="15"/>
      <c r="H4" s="79"/>
      <c r="I4" s="15"/>
      <c r="J4" s="9"/>
      <c r="K4" s="15"/>
      <c r="L4" s="15"/>
      <c r="M4" s="15"/>
    </row>
    <row r="5" spans="1:13" ht="14.25" customHeight="1">
      <c r="A5" s="2" t="s">
        <v>236</v>
      </c>
      <c r="B5" s="21">
        <v>900</v>
      </c>
      <c r="C5" s="46"/>
      <c r="D5" s="45"/>
      <c r="E5" s="45"/>
      <c r="F5" s="15"/>
      <c r="G5" s="15"/>
      <c r="H5" s="80"/>
      <c r="I5" s="45"/>
      <c r="J5" s="46"/>
      <c r="K5" s="45"/>
      <c r="L5" s="45"/>
      <c r="M5" s="15"/>
    </row>
    <row r="6" spans="1:13" ht="14.25" customHeight="1">
      <c r="A6" s="2" t="s">
        <v>237</v>
      </c>
      <c r="B6" s="21">
        <v>900</v>
      </c>
      <c r="C6" s="46"/>
      <c r="D6" s="45"/>
      <c r="E6" s="45"/>
      <c r="F6" s="15"/>
      <c r="G6" s="15"/>
      <c r="H6" s="46"/>
      <c r="I6" s="46"/>
      <c r="J6" s="46"/>
      <c r="K6" s="45"/>
      <c r="L6" s="45"/>
      <c r="M6" s="15"/>
    </row>
    <row r="7" spans="1:13" ht="14.25" customHeight="1">
      <c r="A7" s="2" t="s">
        <v>14</v>
      </c>
      <c r="B7" s="21">
        <f>SUM(B3:B6)</f>
        <v>3400</v>
      </c>
      <c r="C7" s="46"/>
      <c r="D7" s="45"/>
      <c r="E7" s="45"/>
      <c r="F7" s="15"/>
      <c r="G7" s="15"/>
      <c r="H7" s="46"/>
      <c r="I7" s="46"/>
      <c r="J7" s="46"/>
      <c r="K7" s="45"/>
      <c r="L7" s="45"/>
      <c r="M7" s="15"/>
    </row>
    <row r="8" spans="1:13" ht="14.25" customHeight="1">
      <c r="B8" s="9"/>
      <c r="C8" s="46"/>
      <c r="D8" s="45"/>
      <c r="E8" s="45"/>
      <c r="F8" s="15"/>
      <c r="G8" s="15"/>
      <c r="H8" s="81"/>
      <c r="I8" s="15"/>
      <c r="J8" s="9"/>
      <c r="K8" s="15"/>
      <c r="L8" s="15"/>
      <c r="M8" s="15"/>
    </row>
    <row r="9" spans="1:13" ht="14.25" customHeight="1">
      <c r="A9" s="76" t="s">
        <v>238</v>
      </c>
      <c r="B9" s="21"/>
      <c r="C9" s="45"/>
      <c r="D9" s="45"/>
      <c r="E9" s="45"/>
      <c r="F9" s="15"/>
      <c r="G9" s="15"/>
      <c r="H9" s="81"/>
      <c r="I9" s="15"/>
      <c r="J9" s="9"/>
      <c r="K9" s="15"/>
      <c r="L9" s="15"/>
      <c r="M9" s="15"/>
    </row>
    <row r="10" spans="1:13" ht="14.25" customHeight="1">
      <c r="A10" s="2" t="s">
        <v>239</v>
      </c>
      <c r="B10" s="21">
        <v>1400</v>
      </c>
      <c r="C10" s="15"/>
      <c r="D10" s="15"/>
      <c r="E10" s="15"/>
      <c r="F10" s="15"/>
      <c r="G10" s="15"/>
      <c r="H10" s="80"/>
      <c r="I10" s="45"/>
      <c r="J10" s="46"/>
      <c r="K10" s="45"/>
      <c r="L10" s="45"/>
      <c r="M10" s="15"/>
    </row>
    <row r="11" spans="1:13" ht="14.25" customHeight="1">
      <c r="A11" s="2" t="s">
        <v>241</v>
      </c>
      <c r="B11" s="21">
        <v>1000</v>
      </c>
      <c r="C11" s="15"/>
      <c r="D11" s="15"/>
      <c r="E11" s="15"/>
      <c r="F11" s="15"/>
      <c r="G11" s="15"/>
      <c r="H11" s="46"/>
      <c r="I11" s="46"/>
      <c r="J11" s="46"/>
      <c r="K11" s="45"/>
      <c r="L11" s="45"/>
      <c r="M11" s="15"/>
    </row>
    <row r="12" spans="1:13" ht="14.25" customHeight="1">
      <c r="A12" s="2" t="s">
        <v>243</v>
      </c>
      <c r="B12" s="21">
        <v>1000</v>
      </c>
      <c r="H12" s="46"/>
      <c r="I12" s="46"/>
      <c r="J12" s="46"/>
      <c r="K12" s="45"/>
      <c r="L12" s="45"/>
      <c r="M12" s="15"/>
    </row>
    <row r="13" spans="1:13" ht="14.25" customHeight="1">
      <c r="A13" s="2" t="s">
        <v>245</v>
      </c>
      <c r="B13" s="21">
        <v>235</v>
      </c>
      <c r="H13" s="46"/>
      <c r="I13" s="9"/>
      <c r="J13" s="9"/>
      <c r="K13" s="15"/>
      <c r="L13" s="15"/>
      <c r="M13" s="15"/>
    </row>
    <row r="14" spans="1:13" ht="14.25" customHeight="1">
      <c r="A14" s="2" t="s">
        <v>248</v>
      </c>
      <c r="B14" s="21">
        <v>235</v>
      </c>
      <c r="H14" s="80"/>
      <c r="I14" s="61"/>
      <c r="J14" s="46"/>
      <c r="K14" s="45"/>
      <c r="L14" s="45"/>
      <c r="M14" s="15"/>
    </row>
    <row r="15" spans="1:13" ht="14.25" customHeight="1">
      <c r="A15" s="2" t="s">
        <v>250</v>
      </c>
      <c r="B15" s="21">
        <v>235</v>
      </c>
      <c r="H15" s="80"/>
      <c r="I15" s="61"/>
      <c r="J15" s="46"/>
      <c r="K15" s="45"/>
      <c r="L15" s="45"/>
      <c r="M15" s="15"/>
    </row>
    <row r="16" spans="1:13" ht="14.25" customHeight="1">
      <c r="A16" s="2" t="s">
        <v>251</v>
      </c>
      <c r="B16" s="21">
        <v>131.56</v>
      </c>
      <c r="H16" s="80"/>
      <c r="I16" s="61"/>
      <c r="J16" s="46"/>
      <c r="K16" s="45"/>
      <c r="L16" s="45"/>
      <c r="M16" s="15"/>
    </row>
    <row r="17" spans="1:13" ht="14.25" customHeight="1">
      <c r="A17" s="2"/>
      <c r="B17" s="21">
        <f>SUM(B9:B16)</f>
        <v>4236.5600000000004</v>
      </c>
      <c r="H17" s="46"/>
      <c r="I17" s="46"/>
      <c r="J17" s="46"/>
      <c r="K17" s="45"/>
      <c r="L17" s="45"/>
      <c r="M17" s="15"/>
    </row>
    <row r="18" spans="1:13" ht="14.25" customHeight="1">
      <c r="B18" s="9"/>
      <c r="H18" s="46"/>
      <c r="I18" s="46"/>
      <c r="J18" s="46"/>
      <c r="K18" s="45"/>
      <c r="L18" s="45"/>
      <c r="M18" s="15"/>
    </row>
    <row r="19" spans="1:13" ht="14.25" customHeight="1">
      <c r="A19" s="76" t="s">
        <v>252</v>
      </c>
      <c r="B19" s="21"/>
      <c r="H19" s="81"/>
      <c r="I19" s="45"/>
      <c r="J19" s="9"/>
      <c r="K19" s="15"/>
      <c r="L19" s="15"/>
      <c r="M19" s="15"/>
    </row>
    <row r="20" spans="1:13" ht="14.25" customHeight="1">
      <c r="A20" s="2" t="s">
        <v>253</v>
      </c>
      <c r="B20" s="21">
        <v>1400</v>
      </c>
      <c r="H20" s="80"/>
      <c r="I20" s="45"/>
      <c r="J20" s="46"/>
      <c r="K20" s="45"/>
      <c r="L20" s="45"/>
      <c r="M20" s="15"/>
    </row>
    <row r="21" spans="1:13" ht="14.25" customHeight="1">
      <c r="A21" s="2" t="s">
        <v>254</v>
      </c>
      <c r="B21" s="21">
        <v>1000</v>
      </c>
      <c r="H21" s="46"/>
      <c r="I21" s="46"/>
      <c r="J21" s="46"/>
      <c r="K21" s="45"/>
      <c r="L21" s="45"/>
      <c r="M21" s="15"/>
    </row>
    <row r="22" spans="1:13" ht="14.25" customHeight="1">
      <c r="A22" s="2" t="s">
        <v>255</v>
      </c>
      <c r="B22" s="21">
        <v>1850</v>
      </c>
      <c r="H22" s="46"/>
      <c r="I22" s="46"/>
      <c r="J22" s="46"/>
      <c r="K22" s="45"/>
      <c r="L22" s="45"/>
      <c r="M22" s="15"/>
    </row>
    <row r="23" spans="1:13" ht="14.25" customHeight="1">
      <c r="A23" s="2" t="s">
        <v>256</v>
      </c>
      <c r="B23" s="21">
        <v>500</v>
      </c>
      <c r="H23" s="46"/>
      <c r="I23" s="9"/>
      <c r="J23" s="9"/>
      <c r="K23" s="15"/>
      <c r="L23" s="15"/>
      <c r="M23" s="15"/>
    </row>
    <row r="24" spans="1:13" ht="14.25" customHeight="1">
      <c r="A24" s="2" t="s">
        <v>14</v>
      </c>
      <c r="B24" s="21">
        <f>SUM(B20:B23)</f>
        <v>4750</v>
      </c>
      <c r="H24" s="46"/>
      <c r="I24" s="46"/>
      <c r="J24" s="9"/>
      <c r="K24" s="15"/>
      <c r="L24" s="15"/>
      <c r="M24" s="15"/>
    </row>
    <row r="25" spans="1:13" ht="14.25" customHeight="1">
      <c r="B25" s="9"/>
      <c r="H25" s="80"/>
      <c r="I25" s="15"/>
      <c r="J25" s="15"/>
      <c r="K25" s="15"/>
      <c r="L25" s="15"/>
      <c r="M25" s="15"/>
    </row>
    <row r="26" spans="1:13" ht="14.25" customHeight="1">
      <c r="A26" s="76" t="s">
        <v>257</v>
      </c>
      <c r="B26" s="2"/>
      <c r="H26" s="46"/>
      <c r="I26" s="45"/>
      <c r="J26" s="15"/>
      <c r="K26" s="15"/>
      <c r="L26" s="15"/>
      <c r="M26" s="15"/>
    </row>
    <row r="27" spans="1:13" ht="14.25" customHeight="1">
      <c r="A27" s="2" t="s">
        <v>256</v>
      </c>
      <c r="B27" s="21">
        <v>500</v>
      </c>
      <c r="H27" s="28"/>
      <c r="I27" s="15"/>
      <c r="J27" s="15"/>
      <c r="K27" s="15"/>
      <c r="L27" s="15"/>
      <c r="M27" s="15"/>
    </row>
    <row r="28" spans="1:13" ht="14.25" customHeight="1">
      <c r="A28" s="2" t="s">
        <v>14</v>
      </c>
      <c r="B28" s="21">
        <v>500</v>
      </c>
    </row>
    <row r="29" spans="1:13" ht="14.25" customHeight="1">
      <c r="B29" s="9"/>
    </row>
    <row r="30" spans="1:13" ht="14.25" customHeight="1">
      <c r="A30" s="76" t="s">
        <v>258</v>
      </c>
      <c r="B30" s="21"/>
    </row>
    <row r="31" spans="1:13" ht="14.25" customHeight="1">
      <c r="A31" s="2" t="s">
        <v>259</v>
      </c>
      <c r="B31" s="21">
        <v>500</v>
      </c>
    </row>
    <row r="32" spans="1:13" ht="14.25" customHeight="1">
      <c r="A32" s="2" t="s">
        <v>14</v>
      </c>
      <c r="B32" s="21">
        <v>500</v>
      </c>
    </row>
    <row r="33" spans="1:9" ht="14.25" customHeight="1">
      <c r="B33" s="9"/>
    </row>
    <row r="34" spans="1:9" ht="14.25" customHeight="1">
      <c r="A34" s="73" t="s">
        <v>260</v>
      </c>
      <c r="B34" s="29">
        <f>B7+B17+B24+B28+B32</f>
        <v>13386.560000000001</v>
      </c>
    </row>
    <row r="35" spans="1:9" ht="14.25" customHeight="1">
      <c r="A35" s="15"/>
      <c r="B35" s="9"/>
    </row>
    <row r="36" spans="1:9" ht="14.25" customHeight="1">
      <c r="A36" s="15"/>
      <c r="B36" s="9"/>
    </row>
    <row r="37" spans="1:9" ht="14.25" customHeight="1">
      <c r="A37" s="15"/>
      <c r="B37" s="9"/>
    </row>
    <row r="38" spans="1:9" ht="14.25" customHeight="1">
      <c r="A38" s="44">
        <v>22000</v>
      </c>
      <c r="B38" s="82" t="s">
        <v>275</v>
      </c>
      <c r="C38" s="41"/>
      <c r="D38" s="43"/>
    </row>
    <row r="39" spans="1:9" ht="14.25" customHeight="1">
      <c r="A39" s="62">
        <v>5000</v>
      </c>
      <c r="B39" s="83" t="s">
        <v>276</v>
      </c>
      <c r="C39" s="15"/>
      <c r="D39" s="52"/>
    </row>
    <row r="40" spans="1:9" ht="14.25" customHeight="1">
      <c r="A40" s="62">
        <v>5000</v>
      </c>
      <c r="B40" s="83" t="s">
        <v>277</v>
      </c>
      <c r="C40" s="15"/>
      <c r="D40" s="52"/>
      <c r="E40" s="45"/>
      <c r="F40" s="45"/>
      <c r="G40" s="80"/>
    </row>
    <row r="41" spans="1:9" ht="14.25" customHeight="1">
      <c r="A41" s="62">
        <v>5000</v>
      </c>
      <c r="B41" s="83" t="s">
        <v>278</v>
      </c>
      <c r="C41" s="15"/>
      <c r="D41" s="52"/>
      <c r="E41" s="45"/>
      <c r="F41" s="45"/>
      <c r="G41" s="80"/>
    </row>
    <row r="42" spans="1:9" ht="14.25" customHeight="1">
      <c r="A42" s="84">
        <v>37000</v>
      </c>
      <c r="B42" s="85" t="s">
        <v>279</v>
      </c>
      <c r="C42" s="58"/>
      <c r="D42" s="59"/>
      <c r="E42" s="45"/>
      <c r="F42" s="45"/>
      <c r="G42" s="45"/>
    </row>
    <row r="43" spans="1:9" ht="14.25" customHeight="1">
      <c r="A43" s="86">
        <v>10000</v>
      </c>
      <c r="B43" s="87" t="s">
        <v>280</v>
      </c>
      <c r="C43" s="88"/>
      <c r="D43" s="89"/>
      <c r="E43" s="45"/>
      <c r="F43" s="45"/>
      <c r="G43" s="45"/>
    </row>
    <row r="44" spans="1:9" ht="14.25" customHeight="1">
      <c r="A44" s="44">
        <v>27000</v>
      </c>
      <c r="B44" s="82" t="s">
        <v>281</v>
      </c>
      <c r="C44" s="41"/>
      <c r="D44" s="43"/>
      <c r="E44" s="45"/>
      <c r="F44" s="45"/>
      <c r="G44" s="80"/>
    </row>
    <row r="45" spans="1:9" ht="14.25" customHeight="1">
      <c r="A45" s="62">
        <v>5000</v>
      </c>
      <c r="B45" s="83" t="s">
        <v>282</v>
      </c>
      <c r="C45" s="15"/>
      <c r="D45" s="52"/>
      <c r="G45" s="90"/>
      <c r="H45" s="15"/>
    </row>
    <row r="46" spans="1:9" ht="14.25" customHeight="1">
      <c r="A46" s="62">
        <v>5000</v>
      </c>
      <c r="B46" s="83" t="s">
        <v>283</v>
      </c>
      <c r="C46" s="15"/>
      <c r="D46" s="52"/>
      <c r="G46" s="90"/>
      <c r="H46" s="15"/>
      <c r="I46" s="26"/>
    </row>
    <row r="47" spans="1:9" ht="14.25" customHeight="1">
      <c r="A47" s="62">
        <v>5000</v>
      </c>
      <c r="B47" s="83" t="s">
        <v>284</v>
      </c>
      <c r="C47" s="15"/>
      <c r="D47" s="52"/>
      <c r="G47" s="90"/>
      <c r="H47" s="15"/>
    </row>
    <row r="48" spans="1:9" ht="14.25" customHeight="1">
      <c r="A48" s="84">
        <v>42000</v>
      </c>
      <c r="B48" s="85" t="s">
        <v>279</v>
      </c>
      <c r="C48" s="58"/>
      <c r="D48" s="59"/>
      <c r="G48" s="90"/>
      <c r="H48" s="15"/>
    </row>
    <row r="49" spans="1:11" ht="14.25" customHeight="1">
      <c r="A49" s="86">
        <v>10000</v>
      </c>
      <c r="B49" s="87" t="s">
        <v>285</v>
      </c>
      <c r="C49" s="88"/>
      <c r="D49" s="89"/>
    </row>
    <row r="50" spans="1:11" ht="14.25" customHeight="1">
      <c r="A50" s="44">
        <v>32000</v>
      </c>
      <c r="B50" s="82" t="s">
        <v>281</v>
      </c>
      <c r="C50" s="41"/>
      <c r="D50" s="43"/>
      <c r="G50" s="91"/>
      <c r="H50" s="45"/>
    </row>
    <row r="51" spans="1:11" ht="14.25" customHeight="1">
      <c r="A51" s="62">
        <v>5000</v>
      </c>
      <c r="B51" s="83" t="s">
        <v>286</v>
      </c>
      <c r="C51" s="15"/>
      <c r="D51" s="52"/>
    </row>
    <row r="52" spans="1:11" ht="14.25" customHeight="1">
      <c r="A52" s="62">
        <v>5000</v>
      </c>
      <c r="B52" s="83" t="s">
        <v>287</v>
      </c>
      <c r="C52" s="15"/>
      <c r="D52" s="52"/>
      <c r="E52" s="45"/>
      <c r="F52" s="15"/>
    </row>
    <row r="53" spans="1:11" ht="14.25" customHeight="1">
      <c r="A53" s="84">
        <v>42000</v>
      </c>
      <c r="B53" s="85" t="s">
        <v>288</v>
      </c>
      <c r="C53" s="58"/>
      <c r="D53" s="59"/>
      <c r="E53" s="45"/>
      <c r="F53" s="15"/>
    </row>
    <row r="54" spans="1:11" ht="14.25" customHeight="1">
      <c r="A54" s="86">
        <v>10000</v>
      </c>
      <c r="B54" s="87" t="s">
        <v>289</v>
      </c>
      <c r="C54" s="88"/>
      <c r="D54" s="89"/>
      <c r="E54" s="45"/>
      <c r="F54" s="15"/>
      <c r="H54" s="80"/>
      <c r="I54" s="15"/>
      <c r="J54" s="15"/>
      <c r="K54" s="15"/>
    </row>
    <row r="55" spans="1:11" ht="14.25" customHeight="1">
      <c r="A55" s="44">
        <v>32000</v>
      </c>
      <c r="B55" s="82" t="s">
        <v>281</v>
      </c>
      <c r="C55" s="41"/>
      <c r="D55" s="43"/>
      <c r="E55" s="15"/>
      <c r="F55" s="15"/>
      <c r="H55" s="80"/>
      <c r="I55" s="15"/>
      <c r="J55" s="15"/>
      <c r="K55" s="15"/>
    </row>
    <row r="56" spans="1:11" ht="14.25" customHeight="1">
      <c r="A56" s="62">
        <v>5000</v>
      </c>
      <c r="B56" s="83" t="s">
        <v>290</v>
      </c>
      <c r="C56" s="15"/>
      <c r="D56" s="52"/>
      <c r="E56" s="15"/>
      <c r="F56" s="15"/>
      <c r="H56" s="80"/>
      <c r="I56" s="15"/>
      <c r="J56" s="15"/>
      <c r="K56" s="15"/>
    </row>
    <row r="57" spans="1:11" ht="14.25" customHeight="1">
      <c r="A57" s="62">
        <v>5000</v>
      </c>
      <c r="B57" s="83" t="s">
        <v>291</v>
      </c>
      <c r="C57" s="15"/>
      <c r="D57" s="52"/>
      <c r="E57" s="45"/>
      <c r="F57" s="15"/>
      <c r="H57" s="80"/>
      <c r="I57" s="15"/>
      <c r="J57" s="15"/>
      <c r="K57" s="15"/>
    </row>
    <row r="58" spans="1:11" ht="14.25" customHeight="1">
      <c r="A58" s="62">
        <v>5000</v>
      </c>
      <c r="B58" s="83" t="s">
        <v>292</v>
      </c>
      <c r="C58" s="15"/>
      <c r="D58" s="52"/>
      <c r="E58" s="45"/>
      <c r="F58" s="15"/>
      <c r="H58" s="80"/>
      <c r="I58" s="15"/>
      <c r="J58" s="15"/>
      <c r="K58" s="15"/>
    </row>
    <row r="59" spans="1:11" ht="14.25" customHeight="1">
      <c r="A59" s="84">
        <v>47000</v>
      </c>
      <c r="B59" s="85" t="s">
        <v>288</v>
      </c>
      <c r="C59" s="58"/>
      <c r="D59" s="59"/>
      <c r="E59" s="45"/>
      <c r="F59" s="15"/>
      <c r="H59" s="28"/>
      <c r="I59" s="15"/>
      <c r="J59" s="15"/>
      <c r="K59" s="15"/>
    </row>
    <row r="60" spans="1:11" ht="14.25" customHeight="1">
      <c r="A60" s="60">
        <v>5000</v>
      </c>
      <c r="B60" s="92">
        <v>46023</v>
      </c>
      <c r="C60" s="88"/>
      <c r="D60" s="89"/>
      <c r="E60" s="45"/>
      <c r="F60" s="15"/>
      <c r="H60" s="80"/>
      <c r="I60" s="15"/>
      <c r="J60" s="15"/>
      <c r="K60" s="15"/>
    </row>
    <row r="61" spans="1:11" ht="14.25" customHeight="1">
      <c r="E61" s="15"/>
      <c r="F61" s="15"/>
      <c r="H61" s="80"/>
      <c r="I61" s="15"/>
      <c r="J61" s="15"/>
      <c r="K61" s="15"/>
    </row>
    <row r="62" spans="1:11" ht="14.25" customHeight="1">
      <c r="A62" s="93">
        <v>52000</v>
      </c>
      <c r="B62" s="87" t="s">
        <v>293</v>
      </c>
      <c r="C62" s="88"/>
      <c r="D62" s="89"/>
      <c r="E62" s="45"/>
      <c r="F62" s="15"/>
      <c r="H62" s="80"/>
      <c r="I62" s="15"/>
      <c r="J62" s="15"/>
      <c r="K62" s="15"/>
    </row>
    <row r="63" spans="1:11" ht="14.25" customHeight="1">
      <c r="A63" s="80"/>
      <c r="B63" s="15"/>
      <c r="C63" s="15"/>
      <c r="D63" s="15"/>
      <c r="E63" s="45"/>
      <c r="F63" s="15"/>
      <c r="H63" s="80"/>
      <c r="I63" s="15"/>
      <c r="J63" s="15"/>
      <c r="K63" s="15"/>
    </row>
    <row r="64" spans="1:11" ht="14.25" customHeight="1">
      <c r="A64" s="80"/>
      <c r="B64" s="15"/>
      <c r="C64" s="15"/>
      <c r="D64" s="15"/>
      <c r="E64" s="45"/>
      <c r="F64" s="15"/>
      <c r="H64" s="80"/>
      <c r="I64" s="15"/>
      <c r="J64" s="15"/>
      <c r="K64" s="15"/>
    </row>
    <row r="65" spans="1:11" ht="14.25" customHeight="1">
      <c r="A65" s="28"/>
      <c r="B65" s="15"/>
      <c r="C65" s="15"/>
      <c r="D65" s="15"/>
      <c r="E65" s="45"/>
      <c r="F65" s="15"/>
      <c r="H65" s="28"/>
      <c r="I65" s="15"/>
      <c r="J65" s="15"/>
      <c r="K65" s="15"/>
    </row>
    <row r="66" spans="1:11" ht="14.25" customHeight="1">
      <c r="A66" s="86" t="s">
        <v>294</v>
      </c>
      <c r="B66" s="94">
        <v>13386.56</v>
      </c>
      <c r="C66" s="15"/>
      <c r="D66" s="15"/>
      <c r="E66" s="45"/>
      <c r="F66" s="15"/>
      <c r="H66" s="80"/>
      <c r="I66" s="15"/>
      <c r="J66" s="15"/>
      <c r="K66" s="15"/>
    </row>
    <row r="67" spans="1:11" ht="14.25" customHeight="1">
      <c r="A67" s="86" t="s">
        <v>295</v>
      </c>
      <c r="B67" s="95">
        <v>52000</v>
      </c>
      <c r="C67" s="15"/>
      <c r="D67" s="15"/>
      <c r="E67" s="15"/>
      <c r="F67" s="15"/>
      <c r="H67" s="80"/>
      <c r="I67" s="15"/>
      <c r="J67" s="15"/>
      <c r="K67" s="15"/>
    </row>
    <row r="68" spans="1:11" ht="14.25" customHeight="1">
      <c r="A68" s="86" t="s">
        <v>296</v>
      </c>
      <c r="B68" s="94">
        <v>65386.559999999998</v>
      </c>
      <c r="C68" s="15"/>
      <c r="D68" s="15"/>
      <c r="E68" s="15"/>
      <c r="F68" s="15"/>
      <c r="H68" s="80"/>
      <c r="I68" s="15"/>
      <c r="J68" s="15"/>
      <c r="K68" s="15"/>
    </row>
    <row r="69" spans="1:11" ht="14.25" customHeight="1">
      <c r="A69" s="80"/>
      <c r="B69" s="15"/>
      <c r="C69" s="15"/>
      <c r="D69" s="15"/>
      <c r="E69" s="45"/>
      <c r="F69" s="15"/>
      <c r="H69" s="80"/>
      <c r="I69" s="15"/>
      <c r="J69" s="15"/>
      <c r="K69" s="15"/>
    </row>
    <row r="70" spans="1:11" ht="14.25" customHeight="1">
      <c r="A70" s="24">
        <v>-2590</v>
      </c>
      <c r="B70" s="82" t="s">
        <v>297</v>
      </c>
      <c r="C70" s="43"/>
      <c r="E70" s="45"/>
      <c r="F70" s="15"/>
      <c r="H70" s="28"/>
      <c r="I70" s="15"/>
      <c r="J70" s="15"/>
      <c r="K70" s="15"/>
    </row>
    <row r="71" spans="1:11" ht="14.25" customHeight="1">
      <c r="A71" s="18">
        <v>-600</v>
      </c>
      <c r="B71" s="83" t="s">
        <v>298</v>
      </c>
      <c r="C71" s="96">
        <v>46054</v>
      </c>
      <c r="E71" s="45"/>
      <c r="F71" s="15"/>
      <c r="H71" s="80"/>
      <c r="I71" s="15"/>
      <c r="J71" s="15"/>
      <c r="K71" s="15"/>
    </row>
    <row r="72" spans="1:11" ht="14.25" customHeight="1">
      <c r="A72" s="18">
        <v>-540</v>
      </c>
      <c r="B72" s="83" t="s">
        <v>299</v>
      </c>
      <c r="C72" s="52"/>
      <c r="E72" s="15"/>
      <c r="F72" s="15"/>
      <c r="H72" s="80"/>
      <c r="I72" s="15"/>
      <c r="J72" s="15"/>
      <c r="K72" s="15"/>
    </row>
    <row r="73" spans="1:11" ht="14.25" customHeight="1">
      <c r="A73" s="18">
        <v>-200</v>
      </c>
      <c r="B73" s="83" t="s">
        <v>300</v>
      </c>
      <c r="C73" s="52"/>
      <c r="E73" s="15"/>
      <c r="F73" s="15"/>
      <c r="H73" s="80"/>
      <c r="I73" s="15"/>
      <c r="J73" s="15"/>
      <c r="K73" s="15"/>
    </row>
    <row r="74" spans="1:11" ht="14.25" customHeight="1">
      <c r="A74" s="84">
        <v>3930</v>
      </c>
      <c r="B74" s="85" t="s">
        <v>301</v>
      </c>
      <c r="C74" s="59"/>
      <c r="D74" s="15"/>
      <c r="E74" s="15"/>
      <c r="F74" s="15"/>
      <c r="H74" s="80"/>
      <c r="I74" s="15"/>
      <c r="J74" s="15"/>
      <c r="K74" s="15"/>
    </row>
    <row r="75" spans="1:11" ht="14.25" customHeight="1">
      <c r="A75" s="60">
        <v>61456.56</v>
      </c>
      <c r="B75" s="87" t="s">
        <v>302</v>
      </c>
      <c r="C75" s="89"/>
      <c r="D75" s="15"/>
      <c r="H75" s="80"/>
      <c r="I75" s="15"/>
      <c r="J75" s="15"/>
      <c r="K75" s="15"/>
    </row>
    <row r="76" spans="1:11" ht="14.25" customHeight="1">
      <c r="A76" s="80">
        <v>2000</v>
      </c>
      <c r="B76" s="26" t="s">
        <v>684</v>
      </c>
      <c r="C76" s="15"/>
      <c r="D76" s="15"/>
      <c r="H76" s="80"/>
      <c r="I76" s="26"/>
      <c r="J76" s="15"/>
      <c r="K76" s="15"/>
    </row>
    <row r="77" spans="1:11" ht="14.25" customHeight="1">
      <c r="A77" s="15"/>
      <c r="B77" s="15"/>
      <c r="C77" s="15"/>
      <c r="D77" s="15"/>
      <c r="H77" s="15"/>
      <c r="I77" s="15"/>
      <c r="J77" s="15"/>
      <c r="K77" s="15"/>
    </row>
    <row r="78" spans="1:11" ht="14.25" customHeight="1">
      <c r="A78" s="80">
        <f>A75-A76</f>
        <v>59456.56</v>
      </c>
      <c r="B78" s="163" t="s">
        <v>685</v>
      </c>
      <c r="C78" s="15"/>
      <c r="D78" s="15"/>
    </row>
    <row r="79" spans="1:11" ht="14.25" customHeight="1">
      <c r="A79" s="28">
        <v>5000</v>
      </c>
      <c r="B79" s="163" t="s">
        <v>741</v>
      </c>
      <c r="C79" s="15"/>
      <c r="D79" s="15"/>
    </row>
    <row r="80" spans="1:11" ht="14.25" customHeight="1">
      <c r="A80" s="172">
        <f>A78-A79</f>
        <v>54456.56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9"/>
  <sheetViews>
    <sheetView workbookViewId="0">
      <selection activeCell="C4" sqref="C4:C22"/>
    </sheetView>
  </sheetViews>
  <sheetFormatPr defaultColWidth="14.44140625" defaultRowHeight="15" customHeight="1"/>
  <cols>
    <col min="1" max="1" width="13.6640625" customWidth="1"/>
    <col min="2" max="2" width="30.6640625" customWidth="1"/>
    <col min="3" max="3" width="13" customWidth="1"/>
    <col min="4" max="4" width="13.33203125" customWidth="1"/>
    <col min="5" max="5" width="16.6640625" customWidth="1"/>
    <col min="6" max="6" width="9.5546875" customWidth="1"/>
    <col min="7" max="7" width="29.88671875" customWidth="1"/>
    <col min="8" max="8" width="10.5546875" customWidth="1"/>
    <col min="9" max="10" width="9.5546875" customWidth="1"/>
  </cols>
  <sheetData>
    <row r="1" spans="1:9" ht="14.25" customHeight="1">
      <c r="B1" s="1" t="s">
        <v>303</v>
      </c>
    </row>
    <row r="2" spans="1:9" ht="14.25" customHeight="1"/>
    <row r="3" spans="1:9" ht="14.25" customHeight="1">
      <c r="A3" s="3" t="s">
        <v>0</v>
      </c>
      <c r="B3" s="3" t="s">
        <v>1</v>
      </c>
      <c r="C3" s="3" t="s">
        <v>2</v>
      </c>
      <c r="D3" s="97" t="s">
        <v>3</v>
      </c>
      <c r="H3" s="9"/>
      <c r="I3" s="9"/>
    </row>
    <row r="4" spans="1:9" ht="14.25" customHeight="1">
      <c r="A4" s="4">
        <v>45803</v>
      </c>
      <c r="B4" s="2" t="s">
        <v>304</v>
      </c>
      <c r="C4" s="98"/>
      <c r="D4" s="10"/>
      <c r="H4" s="9"/>
      <c r="I4" s="9"/>
    </row>
    <row r="5" spans="1:9" ht="14.25" customHeight="1">
      <c r="A5" s="4">
        <v>45803</v>
      </c>
      <c r="B5" s="2" t="s">
        <v>305</v>
      </c>
      <c r="C5" s="10"/>
      <c r="D5" s="99"/>
      <c r="H5" s="9"/>
      <c r="I5" s="9"/>
    </row>
    <row r="6" spans="1:9" ht="14.25" customHeight="1">
      <c r="A6" s="4"/>
      <c r="B6" s="2" t="s">
        <v>306</v>
      </c>
      <c r="C6" s="10"/>
      <c r="D6" s="10"/>
      <c r="H6" s="9"/>
      <c r="I6" s="9"/>
    </row>
    <row r="7" spans="1:9" ht="14.25" customHeight="1">
      <c r="A7" s="4"/>
      <c r="B7" s="2" t="s">
        <v>307</v>
      </c>
      <c r="C7" s="10"/>
      <c r="D7" s="10"/>
      <c r="H7" s="9"/>
      <c r="I7" s="9"/>
    </row>
    <row r="8" spans="1:9" ht="14.25" customHeight="1">
      <c r="A8" s="4">
        <v>45797</v>
      </c>
      <c r="B8" s="2" t="s">
        <v>308</v>
      </c>
      <c r="C8" s="10"/>
      <c r="D8" s="10"/>
      <c r="G8">
        <v>241.73</v>
      </c>
      <c r="H8" s="9"/>
      <c r="I8" s="9"/>
    </row>
    <row r="9" spans="1:9" ht="14.25" customHeight="1">
      <c r="A9" s="4"/>
      <c r="B9" s="2" t="s">
        <v>309</v>
      </c>
      <c r="C9" s="10"/>
      <c r="D9" s="10"/>
      <c r="G9">
        <v>846.48</v>
      </c>
      <c r="H9" s="9"/>
      <c r="I9" s="9"/>
    </row>
    <row r="10" spans="1:9" ht="14.25" customHeight="1">
      <c r="A10" s="4"/>
      <c r="B10" s="2" t="s">
        <v>310</v>
      </c>
      <c r="C10" s="10"/>
      <c r="D10" s="10"/>
      <c r="H10" s="9"/>
      <c r="I10" s="9"/>
    </row>
    <row r="11" spans="1:9" ht="14.25" customHeight="1">
      <c r="A11" s="4">
        <v>45797</v>
      </c>
      <c r="B11" s="2" t="s">
        <v>311</v>
      </c>
      <c r="C11" s="10"/>
      <c r="D11" s="10"/>
      <c r="H11" s="9"/>
      <c r="I11" s="9"/>
    </row>
    <row r="12" spans="1:9" ht="14.25" customHeight="1">
      <c r="A12" s="4">
        <v>45797</v>
      </c>
      <c r="B12" s="2" t="s">
        <v>312</v>
      </c>
      <c r="C12" s="10"/>
      <c r="D12" s="10"/>
      <c r="G12">
        <f>SUM(G8:G11)</f>
        <v>1088.21</v>
      </c>
      <c r="H12" s="9"/>
      <c r="I12" s="9"/>
    </row>
    <row r="13" spans="1:9" ht="14.25" customHeight="1">
      <c r="A13" s="4">
        <v>45803</v>
      </c>
      <c r="B13" s="2" t="s">
        <v>313</v>
      </c>
      <c r="C13" s="10"/>
      <c r="D13" s="10"/>
      <c r="H13" s="9"/>
      <c r="I13" s="9"/>
    </row>
    <row r="14" spans="1:9" ht="14.25" customHeight="1">
      <c r="A14" s="4">
        <v>45797</v>
      </c>
      <c r="B14" s="2" t="s">
        <v>314</v>
      </c>
      <c r="C14" s="6"/>
      <c r="D14" s="6"/>
      <c r="H14" s="9"/>
      <c r="I14" s="9"/>
    </row>
    <row r="15" spans="1:9" ht="14.25" customHeight="1">
      <c r="A15" s="4">
        <v>45803</v>
      </c>
      <c r="B15" s="2" t="s">
        <v>315</v>
      </c>
      <c r="C15" s="10"/>
      <c r="D15" s="10"/>
      <c r="H15" s="9"/>
      <c r="I15" s="9"/>
    </row>
    <row r="16" spans="1:9" ht="14.25" customHeight="1">
      <c r="A16" s="4">
        <v>45773</v>
      </c>
      <c r="B16" s="2" t="s">
        <v>316</v>
      </c>
      <c r="C16" s="168"/>
      <c r="D16" s="10"/>
      <c r="F16" s="9"/>
      <c r="H16" s="9"/>
      <c r="I16" s="9"/>
    </row>
    <row r="17" spans="1:10" ht="14.25" customHeight="1">
      <c r="A17" s="2"/>
      <c r="B17" s="2"/>
      <c r="C17" s="10"/>
      <c r="D17" s="10"/>
      <c r="H17" s="9"/>
      <c r="I17" s="9"/>
    </row>
    <row r="18" spans="1:10" ht="14.25" customHeight="1">
      <c r="A18" s="4">
        <v>45805</v>
      </c>
      <c r="B18" s="2" t="s">
        <v>317</v>
      </c>
      <c r="C18" s="10"/>
      <c r="D18" s="10"/>
      <c r="H18" s="9"/>
      <c r="I18" s="9"/>
    </row>
    <row r="19" spans="1:10" ht="14.25" customHeight="1">
      <c r="A19" s="4"/>
      <c r="B19" s="2"/>
      <c r="C19" s="10"/>
      <c r="D19" s="10"/>
      <c r="H19" s="9"/>
      <c r="I19" s="9"/>
    </row>
    <row r="20" spans="1:10" ht="14.25" customHeight="1">
      <c r="A20" s="4"/>
      <c r="B20" s="2"/>
      <c r="C20" s="10"/>
      <c r="D20" s="10"/>
      <c r="H20" s="9"/>
      <c r="I20" s="9"/>
    </row>
    <row r="21" spans="1:10" ht="14.25" customHeight="1">
      <c r="A21" s="4">
        <v>45804</v>
      </c>
      <c r="B21" s="2" t="s">
        <v>318</v>
      </c>
      <c r="C21" s="10"/>
      <c r="D21" s="10"/>
      <c r="H21" s="9"/>
      <c r="I21" s="9"/>
      <c r="J21" s="9"/>
    </row>
    <row r="22" spans="1:10" ht="14.25" customHeight="1">
      <c r="A22" s="2"/>
      <c r="B22" s="100" t="s">
        <v>34</v>
      </c>
      <c r="C22" s="19"/>
      <c r="D22" s="19"/>
    </row>
    <row r="23" spans="1:10" ht="14.25" customHeight="1">
      <c r="D23" s="27"/>
    </row>
    <row r="24" spans="1:10" ht="14.25" customHeight="1"/>
    <row r="25" spans="1:10" ht="14.25" customHeight="1">
      <c r="C25" s="101"/>
    </row>
    <row r="26" spans="1:10" ht="14.25" customHeight="1"/>
    <row r="27" spans="1:10" ht="14.25" customHeight="1"/>
    <row r="28" spans="1:10" ht="14.25" customHeight="1"/>
    <row r="29" spans="1:10" ht="14.25" customHeight="1"/>
    <row r="30" spans="1:10" ht="14.25" customHeight="1"/>
    <row r="31" spans="1:10" ht="14.25" customHeight="1"/>
    <row r="32" spans="1:10" ht="14.25" customHeight="1">
      <c r="B32" s="33"/>
    </row>
    <row r="33" spans="3:3" ht="14.25" customHeight="1">
      <c r="C33" s="9"/>
    </row>
    <row r="34" spans="3:3" ht="14.25" customHeight="1"/>
    <row r="35" spans="3:3" ht="14.25" customHeight="1"/>
    <row r="36" spans="3:3" ht="14.25" customHeight="1"/>
    <row r="37" spans="3:3" ht="14.25" customHeight="1"/>
    <row r="38" spans="3:3" ht="14.25" customHeight="1"/>
    <row r="39" spans="3:3" ht="14.25" customHeight="1"/>
    <row r="40" spans="3:3" ht="14.25" customHeight="1"/>
    <row r="41" spans="3:3" ht="14.25" customHeight="1"/>
    <row r="42" spans="3:3" ht="14.25" customHeight="1"/>
    <row r="43" spans="3:3" ht="14.25" customHeight="1"/>
    <row r="44" spans="3:3" ht="14.25" customHeight="1"/>
    <row r="45" spans="3:3" ht="14.25" customHeight="1"/>
    <row r="46" spans="3:3" ht="14.25" customHeight="1"/>
    <row r="47" spans="3:3" ht="14.25" customHeight="1"/>
    <row r="48" spans="3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topLeftCell="A10" workbookViewId="0">
      <selection activeCell="H33" sqref="H33"/>
    </sheetView>
  </sheetViews>
  <sheetFormatPr defaultColWidth="14.44140625" defaultRowHeight="15" customHeight="1"/>
  <cols>
    <col min="1" max="1" width="17.6640625" customWidth="1"/>
    <col min="2" max="2" width="17.44140625" customWidth="1"/>
    <col min="3" max="3" width="18" customWidth="1"/>
    <col min="4" max="4" width="18.109375" customWidth="1"/>
    <col min="5" max="5" width="26.6640625" customWidth="1"/>
    <col min="6" max="6" width="19.21875" customWidth="1"/>
    <col min="7" max="26" width="8.6640625" customWidth="1"/>
  </cols>
  <sheetData>
    <row r="1" spans="1:5" ht="14.25" customHeight="1">
      <c r="A1" s="102" t="s">
        <v>319</v>
      </c>
      <c r="B1" s="103"/>
      <c r="C1" s="103"/>
      <c r="D1" s="103"/>
      <c r="E1" s="104"/>
    </row>
    <row r="2" spans="1:5" ht="14.25" customHeight="1">
      <c r="A2" s="105"/>
      <c r="B2" s="15"/>
      <c r="C2" s="15"/>
      <c r="D2" s="15"/>
      <c r="E2" s="106"/>
    </row>
    <row r="3" spans="1:5" ht="14.25" customHeight="1">
      <c r="A3" s="2" t="s">
        <v>320</v>
      </c>
      <c r="B3" s="2" t="s">
        <v>321</v>
      </c>
      <c r="C3" s="2" t="s">
        <v>322</v>
      </c>
      <c r="D3" s="2" t="s">
        <v>323</v>
      </c>
      <c r="E3" s="2" t="s">
        <v>324</v>
      </c>
    </row>
    <row r="4" spans="1:5" ht="14.25" customHeight="1">
      <c r="A4" s="2">
        <v>27</v>
      </c>
      <c r="B4" s="107">
        <v>45839</v>
      </c>
      <c r="C4" s="10">
        <v>1370.31</v>
      </c>
      <c r="D4" s="10">
        <v>600</v>
      </c>
      <c r="E4" s="10">
        <v>770.31</v>
      </c>
    </row>
    <row r="5" spans="1:5" ht="14.25" customHeight="1">
      <c r="A5" s="2">
        <v>26</v>
      </c>
      <c r="B5" s="107">
        <v>45870</v>
      </c>
      <c r="C5" s="10">
        <v>1370.31</v>
      </c>
      <c r="D5" s="10">
        <v>600</v>
      </c>
      <c r="E5" s="10">
        <v>770.31</v>
      </c>
    </row>
    <row r="6" spans="1:5" ht="14.25" customHeight="1">
      <c r="A6" s="2">
        <v>25</v>
      </c>
      <c r="B6" s="107">
        <v>45901</v>
      </c>
      <c r="C6" s="10">
        <v>1370.31</v>
      </c>
      <c r="D6" s="10">
        <v>600</v>
      </c>
      <c r="E6" s="10">
        <v>770.31</v>
      </c>
    </row>
    <row r="7" spans="1:5" ht="14.25" customHeight="1">
      <c r="A7" s="2">
        <v>24</v>
      </c>
      <c r="B7" s="107">
        <v>45931</v>
      </c>
      <c r="C7" s="10">
        <v>1370.31</v>
      </c>
      <c r="D7" s="10">
        <v>600</v>
      </c>
      <c r="E7" s="10">
        <v>770.31</v>
      </c>
    </row>
    <row r="8" spans="1:5" ht="14.25" customHeight="1">
      <c r="A8" s="2">
        <v>23</v>
      </c>
      <c r="B8" s="107">
        <v>45962</v>
      </c>
      <c r="C8" s="10">
        <v>1370.31</v>
      </c>
      <c r="D8" s="10">
        <v>600</v>
      </c>
      <c r="E8" s="10">
        <v>770.31</v>
      </c>
    </row>
    <row r="9" spans="1:5" ht="14.25" customHeight="1">
      <c r="A9" s="2">
        <v>22</v>
      </c>
      <c r="B9" s="107">
        <v>38687</v>
      </c>
      <c r="C9" s="10">
        <v>1370.31</v>
      </c>
      <c r="D9" s="10">
        <v>600</v>
      </c>
      <c r="E9" s="10">
        <v>770.31</v>
      </c>
    </row>
    <row r="10" spans="1:5" ht="14.25" customHeight="1">
      <c r="A10" s="2">
        <v>21</v>
      </c>
      <c r="B10" s="107">
        <v>46023</v>
      </c>
      <c r="C10" s="14">
        <v>1370.31</v>
      </c>
      <c r="D10" s="14">
        <v>600</v>
      </c>
      <c r="E10" s="10">
        <v>770.31</v>
      </c>
    </row>
    <row r="11" spans="1:5" ht="14.25" customHeight="1">
      <c r="A11" s="2">
        <v>20</v>
      </c>
      <c r="B11" s="107">
        <v>46054</v>
      </c>
      <c r="C11" s="14">
        <v>1428.69</v>
      </c>
      <c r="D11" s="14">
        <v>0</v>
      </c>
      <c r="E11" s="10">
        <v>1428.69</v>
      </c>
    </row>
    <row r="12" spans="1:5" ht="14.25" customHeight="1">
      <c r="A12" s="2">
        <v>19</v>
      </c>
      <c r="B12" s="108" t="s">
        <v>325</v>
      </c>
      <c r="C12" s="14">
        <v>1428.69</v>
      </c>
      <c r="D12" s="14">
        <v>600</v>
      </c>
      <c r="E12" s="10">
        <v>828.69</v>
      </c>
    </row>
    <row r="13" spans="1:5" ht="14.25" customHeight="1">
      <c r="A13" s="2">
        <v>18</v>
      </c>
      <c r="B13" s="107">
        <v>46113</v>
      </c>
      <c r="C13" s="14">
        <v>1428.69</v>
      </c>
      <c r="D13" s="14">
        <v>600</v>
      </c>
      <c r="E13" s="10">
        <v>828.69</v>
      </c>
    </row>
    <row r="14" spans="1:5" ht="14.25" customHeight="1">
      <c r="A14" s="2">
        <v>17</v>
      </c>
      <c r="B14" s="107">
        <v>46143</v>
      </c>
      <c r="C14" s="14">
        <v>1428.69</v>
      </c>
      <c r="D14" s="14">
        <v>0</v>
      </c>
      <c r="E14" s="10">
        <v>1428.69</v>
      </c>
    </row>
    <row r="15" spans="1:5" ht="14.25" customHeight="1">
      <c r="A15" s="2">
        <v>16</v>
      </c>
      <c r="B15" s="107">
        <v>46174</v>
      </c>
      <c r="C15" s="14">
        <v>1428.69</v>
      </c>
      <c r="D15" s="14">
        <v>0</v>
      </c>
      <c r="E15" s="10">
        <v>1428.69</v>
      </c>
    </row>
    <row r="16" spans="1:5" ht="14.25" customHeight="1">
      <c r="A16" s="2">
        <v>15</v>
      </c>
      <c r="B16" s="107">
        <v>46204</v>
      </c>
      <c r="C16" s="14">
        <v>1428.69</v>
      </c>
      <c r="D16" s="14">
        <v>0</v>
      </c>
      <c r="E16" s="10">
        <v>1428.69</v>
      </c>
    </row>
    <row r="17" spans="1:9" ht="14.25" customHeight="1">
      <c r="A17" s="2">
        <v>14</v>
      </c>
      <c r="B17" s="107">
        <v>46235</v>
      </c>
      <c r="C17" s="14">
        <v>1428.69</v>
      </c>
      <c r="D17" s="14">
        <v>0</v>
      </c>
      <c r="E17" s="10">
        <v>1428.69</v>
      </c>
    </row>
    <row r="18" spans="1:9" ht="14.25" customHeight="1">
      <c r="A18" s="2">
        <v>13</v>
      </c>
      <c r="B18" s="107">
        <v>46266</v>
      </c>
      <c r="C18" s="14">
        <v>1428.69</v>
      </c>
      <c r="D18" s="14">
        <v>0</v>
      </c>
      <c r="E18" s="10">
        <v>1428.69</v>
      </c>
    </row>
    <row r="19" spans="1:9" ht="14.25" customHeight="1">
      <c r="A19" s="2">
        <v>12</v>
      </c>
      <c r="B19" s="107">
        <v>46296</v>
      </c>
      <c r="C19" s="14">
        <v>1428.69</v>
      </c>
      <c r="D19" s="14"/>
      <c r="E19" s="10"/>
    </row>
    <row r="20" spans="1:9" ht="14.25" customHeight="1">
      <c r="A20" s="2">
        <v>11</v>
      </c>
      <c r="B20" s="107">
        <v>46327</v>
      </c>
      <c r="C20" s="14">
        <v>1428.69</v>
      </c>
      <c r="D20" s="14"/>
      <c r="E20" s="10"/>
    </row>
    <row r="21" spans="1:9" ht="14.25" customHeight="1">
      <c r="A21" s="2">
        <v>10</v>
      </c>
      <c r="B21" s="107">
        <v>46357</v>
      </c>
      <c r="C21" s="14">
        <v>1428.69</v>
      </c>
      <c r="D21" s="14"/>
      <c r="E21" s="10"/>
    </row>
    <row r="22" spans="1:9" ht="14.25" customHeight="1">
      <c r="A22" s="2">
        <v>9</v>
      </c>
      <c r="B22" s="107">
        <v>46388</v>
      </c>
      <c r="C22" s="14">
        <v>1428.69</v>
      </c>
      <c r="D22" s="14"/>
      <c r="E22" s="10"/>
      <c r="I22" s="15" t="s">
        <v>326</v>
      </c>
    </row>
    <row r="23" spans="1:9" ht="14.25" customHeight="1">
      <c r="A23" s="2">
        <v>8</v>
      </c>
      <c r="B23" s="107">
        <v>46419</v>
      </c>
      <c r="C23" s="14">
        <v>1428.69</v>
      </c>
      <c r="D23" s="14"/>
      <c r="E23" s="10"/>
    </row>
    <row r="24" spans="1:9" ht="14.25" customHeight="1">
      <c r="A24" s="2">
        <v>7</v>
      </c>
      <c r="B24" s="108" t="s">
        <v>327</v>
      </c>
      <c r="C24" s="14">
        <v>1428.69</v>
      </c>
      <c r="D24" s="14"/>
      <c r="E24" s="10"/>
    </row>
    <row r="25" spans="1:9" ht="14.25" customHeight="1">
      <c r="A25" s="2">
        <v>6</v>
      </c>
      <c r="B25" s="109">
        <v>46478</v>
      </c>
      <c r="C25" s="14">
        <v>1428.69</v>
      </c>
      <c r="D25" s="14"/>
      <c r="E25" s="10"/>
    </row>
    <row r="26" spans="1:9" ht="14.25" customHeight="1">
      <c r="A26" s="2">
        <v>5</v>
      </c>
      <c r="B26" s="109">
        <v>46508</v>
      </c>
      <c r="C26" s="14">
        <v>1428.69</v>
      </c>
      <c r="D26" s="14"/>
      <c r="E26" s="10"/>
    </row>
    <row r="27" spans="1:9" ht="14.25" customHeight="1">
      <c r="A27" s="2">
        <v>4</v>
      </c>
      <c r="B27" s="107">
        <v>46539</v>
      </c>
      <c r="C27" s="14">
        <v>1428.69</v>
      </c>
      <c r="D27" s="14"/>
      <c r="E27" s="10"/>
    </row>
    <row r="28" spans="1:9" ht="14.25" customHeight="1">
      <c r="A28" s="2">
        <v>3</v>
      </c>
      <c r="B28" s="107">
        <v>46569</v>
      </c>
      <c r="C28" s="14">
        <v>1428.69</v>
      </c>
      <c r="D28" s="14"/>
      <c r="E28" s="10"/>
    </row>
    <row r="29" spans="1:9" ht="14.25" customHeight="1">
      <c r="A29" s="2">
        <v>2</v>
      </c>
      <c r="B29" s="107">
        <v>46600</v>
      </c>
      <c r="C29" s="14">
        <v>1428.69</v>
      </c>
      <c r="D29" s="14"/>
      <c r="E29" s="10"/>
    </row>
    <row r="30" spans="1:9" ht="14.25" customHeight="1">
      <c r="A30" s="2">
        <v>1</v>
      </c>
      <c r="B30" s="107">
        <v>46631</v>
      </c>
      <c r="C30" s="14">
        <v>1428.69</v>
      </c>
      <c r="D30" s="14"/>
      <c r="E30" s="10"/>
    </row>
    <row r="31" spans="1:9" ht="14.25" customHeight="1">
      <c r="A31" s="82"/>
      <c r="B31" s="82"/>
      <c r="C31" s="23"/>
      <c r="D31" s="23"/>
      <c r="E31" s="10"/>
    </row>
    <row r="32" spans="1:9" ht="14.25" customHeight="1">
      <c r="A32" s="85" t="s">
        <v>328</v>
      </c>
      <c r="B32" s="85"/>
      <c r="C32" s="110">
        <f>SUM(C19:C31)</f>
        <v>17144.280000000002</v>
      </c>
      <c r="D32" s="110"/>
      <c r="E32" s="10">
        <f>SUM(E4:E31)</f>
        <v>15621.690000000004</v>
      </c>
      <c r="F32" s="171">
        <f>E32+C32</f>
        <v>32765.970000000008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>
      <selection sqref="A1:B1"/>
    </sheetView>
  </sheetViews>
  <sheetFormatPr defaultColWidth="14.44140625" defaultRowHeight="15" customHeight="1"/>
  <cols>
    <col min="1" max="1" width="20.88671875" customWidth="1"/>
    <col min="2" max="3" width="10.6640625" customWidth="1"/>
    <col min="4" max="6" width="8.6640625" customWidth="1"/>
  </cols>
  <sheetData>
    <row r="1" spans="1:3" ht="14.25" customHeight="1">
      <c r="A1" s="182" t="s">
        <v>329</v>
      </c>
      <c r="B1" s="183"/>
    </row>
    <row r="2" spans="1:3" ht="14.25" customHeight="1"/>
    <row r="3" spans="1:3" ht="14.25" customHeight="1">
      <c r="A3" s="2" t="s">
        <v>330</v>
      </c>
      <c r="B3" s="21">
        <f>Honorario!C118</f>
        <v>61228</v>
      </c>
    </row>
    <row r="4" spans="1:3" ht="14.25" customHeight="1">
      <c r="A4" s="111" t="s">
        <v>331</v>
      </c>
      <c r="B4" s="112">
        <f>B3</f>
        <v>61228</v>
      </c>
    </row>
    <row r="5" spans="1:3" ht="14.25" customHeight="1">
      <c r="A5" s="2" t="s">
        <v>332</v>
      </c>
      <c r="B5" s="21">
        <f>'Desp Escr'!C42</f>
        <v>18905.209999999995</v>
      </c>
    </row>
    <row r="6" spans="1:3" ht="14.25" customHeight="1">
      <c r="A6" s="2" t="s">
        <v>333</v>
      </c>
      <c r="B6" s="21">
        <f>'Desp Pessoais'!C37</f>
        <v>17855.030000000002</v>
      </c>
    </row>
    <row r="7" spans="1:3" ht="14.25" customHeight="1">
      <c r="A7" s="2" t="s">
        <v>334</v>
      </c>
      <c r="B7" s="21">
        <f>Banco!C22</f>
        <v>0</v>
      </c>
    </row>
    <row r="8" spans="1:3" ht="14.25" customHeight="1">
      <c r="A8" s="111" t="s">
        <v>335</v>
      </c>
      <c r="B8" s="112">
        <f>SUM(B5:B7)</f>
        <v>36760.239999999998</v>
      </c>
    </row>
    <row r="9" spans="1:3" ht="14.25" customHeight="1">
      <c r="A9" s="2" t="s">
        <v>336</v>
      </c>
      <c r="B9" s="21">
        <f>B4-B8</f>
        <v>24467.760000000002</v>
      </c>
    </row>
    <row r="10" spans="1:3" ht="14.25" customHeight="1"/>
    <row r="11" spans="1:3" ht="14.25" customHeight="1"/>
    <row r="12" spans="1:3" ht="14.25" customHeight="1"/>
    <row r="13" spans="1:3" ht="14.25" customHeight="1">
      <c r="A13" s="113"/>
      <c r="B13" s="113"/>
      <c r="C13" s="113"/>
    </row>
    <row r="14" spans="1:3" ht="14.25" customHeight="1">
      <c r="A14" s="113"/>
      <c r="B14" s="113"/>
      <c r="C14" s="113"/>
    </row>
    <row r="15" spans="1:3" ht="14.25" customHeight="1">
      <c r="A15" s="113"/>
      <c r="B15" s="114"/>
      <c r="C15" s="113"/>
    </row>
    <row r="16" spans="1:3" ht="14.25" customHeight="1">
      <c r="A16" s="113"/>
      <c r="B16" s="114"/>
      <c r="C16" s="113"/>
    </row>
    <row r="17" spans="1:3" ht="14.25" customHeight="1">
      <c r="A17" s="113"/>
      <c r="B17" s="114"/>
      <c r="C17" s="113"/>
    </row>
    <row r="18" spans="1:3" ht="14.25" customHeight="1">
      <c r="A18" s="113"/>
      <c r="B18" s="114"/>
      <c r="C18" s="113"/>
    </row>
    <row r="19" spans="1:3" ht="14.25" customHeight="1">
      <c r="A19" s="113"/>
      <c r="B19" s="114"/>
      <c r="C19" s="113"/>
    </row>
    <row r="20" spans="1:3" ht="14.25" customHeight="1">
      <c r="A20" s="113"/>
      <c r="B20" s="114"/>
      <c r="C20" s="113"/>
    </row>
    <row r="21" spans="1:3" ht="14.25" customHeight="1">
      <c r="A21" s="113"/>
      <c r="B21" s="114"/>
      <c r="C21" s="113"/>
    </row>
    <row r="22" spans="1:3" ht="14.25" customHeight="1">
      <c r="A22" s="113"/>
      <c r="B22" s="113"/>
      <c r="C22" s="113"/>
    </row>
    <row r="23" spans="1:3" ht="14.25" customHeight="1">
      <c r="A23" s="113"/>
      <c r="B23" s="113"/>
      <c r="C23" s="113"/>
    </row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511811024" right="0.511811024" top="0.78740157499999996" bottom="0.78740157499999996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000"/>
  <sheetViews>
    <sheetView workbookViewId="0"/>
  </sheetViews>
  <sheetFormatPr defaultColWidth="14.44140625" defaultRowHeight="15" customHeight="1"/>
  <cols>
    <col min="1" max="1" width="32.5546875" customWidth="1"/>
    <col min="2" max="2" width="12.109375" customWidth="1"/>
    <col min="3" max="3" width="16.44140625" customWidth="1"/>
    <col min="5" max="6" width="11" customWidth="1"/>
    <col min="7" max="7" width="12.109375" customWidth="1"/>
    <col min="8" max="8" width="16.44140625" customWidth="1"/>
    <col min="10" max="10" width="9.5546875" customWidth="1"/>
    <col min="11" max="11" width="11.109375" customWidth="1"/>
    <col min="12" max="12" width="12.109375" customWidth="1"/>
    <col min="13" max="13" width="16.44140625" customWidth="1"/>
    <col min="15" max="15" width="9.5546875" customWidth="1"/>
    <col min="16" max="16" width="11.109375" customWidth="1"/>
  </cols>
  <sheetData>
    <row r="1" spans="1:16" ht="14.25" customHeight="1"/>
    <row r="2" spans="1:16" ht="14.25" customHeight="1"/>
    <row r="3" spans="1:16" ht="14.25" customHeight="1">
      <c r="B3" s="184" t="s">
        <v>337</v>
      </c>
      <c r="C3" s="185"/>
      <c r="D3" s="185"/>
      <c r="E3" s="185"/>
      <c r="F3" s="186"/>
      <c r="G3" s="187" t="s">
        <v>338</v>
      </c>
      <c r="H3" s="185"/>
      <c r="I3" s="185"/>
      <c r="J3" s="185"/>
      <c r="K3" s="186"/>
      <c r="L3" s="188" t="s">
        <v>338</v>
      </c>
      <c r="M3" s="185"/>
      <c r="N3" s="185"/>
      <c r="O3" s="185"/>
      <c r="P3" s="186"/>
    </row>
    <row r="4" spans="1:16" ht="14.25" customHeight="1">
      <c r="B4" s="115" t="s">
        <v>339</v>
      </c>
      <c r="C4" s="115" t="s">
        <v>340</v>
      </c>
      <c r="D4" s="115" t="s">
        <v>341</v>
      </c>
      <c r="E4" s="116" t="s">
        <v>334</v>
      </c>
      <c r="F4" s="116" t="s">
        <v>342</v>
      </c>
      <c r="G4" s="73" t="s">
        <v>339</v>
      </c>
      <c r="H4" s="73" t="s">
        <v>340</v>
      </c>
      <c r="I4" s="73" t="s">
        <v>341</v>
      </c>
      <c r="J4" s="3" t="s">
        <v>334</v>
      </c>
      <c r="K4" s="3" t="s">
        <v>342</v>
      </c>
      <c r="L4" s="117" t="s">
        <v>339</v>
      </c>
      <c r="M4" s="117" t="s">
        <v>340</v>
      </c>
      <c r="N4" s="117" t="s">
        <v>341</v>
      </c>
      <c r="O4" s="118" t="s">
        <v>334</v>
      </c>
      <c r="P4" s="118" t="s">
        <v>342</v>
      </c>
    </row>
    <row r="5" spans="1:16" ht="14.25" customHeight="1">
      <c r="A5" s="87" t="s">
        <v>343</v>
      </c>
      <c r="B5" s="112">
        <v>2000</v>
      </c>
      <c r="C5" s="111"/>
      <c r="D5" s="111"/>
      <c r="E5" s="111"/>
      <c r="F5" s="112"/>
      <c r="G5" s="21">
        <v>2000</v>
      </c>
      <c r="H5" s="2"/>
      <c r="I5" s="2"/>
      <c r="J5" s="2"/>
      <c r="K5" s="21"/>
      <c r="L5" s="119">
        <v>2000</v>
      </c>
      <c r="M5" s="120"/>
      <c r="N5" s="120"/>
      <c r="O5" s="120"/>
      <c r="P5" s="119"/>
    </row>
    <row r="6" spans="1:16" ht="14.25" customHeight="1">
      <c r="A6" s="87" t="s">
        <v>93</v>
      </c>
      <c r="B6" s="112">
        <v>1500</v>
      </c>
      <c r="C6" s="111"/>
      <c r="D6" s="111"/>
      <c r="E6" s="111"/>
      <c r="F6" s="112"/>
      <c r="G6" s="21">
        <v>1500</v>
      </c>
      <c r="H6" s="2"/>
      <c r="I6" s="2"/>
      <c r="J6" s="2"/>
      <c r="K6" s="21"/>
      <c r="L6" s="119">
        <v>1500</v>
      </c>
      <c r="M6" s="120"/>
      <c r="N6" s="120"/>
      <c r="O6" s="120"/>
      <c r="P6" s="119"/>
    </row>
    <row r="7" spans="1:16" ht="14.25" customHeight="1">
      <c r="A7" s="87" t="s">
        <v>344</v>
      </c>
      <c r="B7" s="112">
        <v>1300</v>
      </c>
      <c r="C7" s="111"/>
      <c r="D7" s="111"/>
      <c r="E7" s="111"/>
      <c r="F7" s="112"/>
      <c r="G7" s="21">
        <v>1300</v>
      </c>
      <c r="H7" s="2"/>
      <c r="I7" s="2"/>
      <c r="J7" s="2"/>
      <c r="K7" s="21"/>
      <c r="L7" s="119">
        <v>1300</v>
      </c>
      <c r="M7" s="120"/>
      <c r="N7" s="120"/>
      <c r="O7" s="120"/>
      <c r="P7" s="119"/>
    </row>
    <row r="8" spans="1:16" ht="14.25" customHeight="1">
      <c r="A8" s="87" t="s">
        <v>345</v>
      </c>
      <c r="B8" s="112">
        <v>0</v>
      </c>
      <c r="C8" s="111"/>
      <c r="D8" s="111"/>
      <c r="E8" s="111"/>
      <c r="F8" s="112"/>
      <c r="G8" s="21">
        <v>0</v>
      </c>
      <c r="H8" s="2"/>
      <c r="I8" s="2"/>
      <c r="J8" s="2"/>
      <c r="K8" s="21"/>
      <c r="L8" s="119">
        <v>0</v>
      </c>
      <c r="M8" s="120"/>
      <c r="N8" s="120"/>
      <c r="O8" s="120"/>
      <c r="P8" s="119"/>
    </row>
    <row r="9" spans="1:16" ht="14.25" customHeight="1">
      <c r="A9" s="87" t="s">
        <v>346</v>
      </c>
      <c r="B9" s="112">
        <v>500</v>
      </c>
      <c r="C9" s="111"/>
      <c r="D9" s="111"/>
      <c r="E9" s="111"/>
      <c r="F9" s="112"/>
      <c r="G9" s="21">
        <v>500</v>
      </c>
      <c r="H9" s="2"/>
      <c r="I9" s="2"/>
      <c r="J9" s="2"/>
      <c r="K9" s="21"/>
      <c r="L9" s="119">
        <v>500</v>
      </c>
      <c r="M9" s="120"/>
      <c r="N9" s="120"/>
      <c r="O9" s="120"/>
      <c r="P9" s="119"/>
    </row>
    <row r="10" spans="1:16" ht="14.25" customHeight="1">
      <c r="A10" s="87" t="s">
        <v>122</v>
      </c>
      <c r="B10" s="112">
        <v>550</v>
      </c>
      <c r="C10" s="111"/>
      <c r="D10" s="111"/>
      <c r="E10" s="111"/>
      <c r="F10" s="112"/>
      <c r="G10" s="21">
        <v>550</v>
      </c>
      <c r="H10" s="2"/>
      <c r="I10" s="2"/>
      <c r="J10" s="2"/>
      <c r="K10" s="21"/>
      <c r="L10" s="119">
        <v>550</v>
      </c>
      <c r="M10" s="120"/>
      <c r="N10" s="120"/>
      <c r="O10" s="120"/>
      <c r="P10" s="119"/>
    </row>
    <row r="11" spans="1:16" ht="14.25" customHeight="1">
      <c r="A11" s="87" t="s">
        <v>347</v>
      </c>
      <c r="B11" s="112">
        <v>325</v>
      </c>
      <c r="C11" s="111"/>
      <c r="D11" s="111"/>
      <c r="E11" s="111"/>
      <c r="F11" s="112"/>
      <c r="G11" s="21">
        <v>325</v>
      </c>
      <c r="H11" s="2"/>
      <c r="I11" s="2"/>
      <c r="J11" s="2"/>
      <c r="K11" s="21"/>
      <c r="L11" s="119">
        <v>325</v>
      </c>
      <c r="M11" s="120"/>
      <c r="N11" s="120"/>
      <c r="O11" s="120"/>
      <c r="P11" s="119"/>
    </row>
    <row r="12" spans="1:16" ht="14.25" customHeight="1">
      <c r="A12" s="87" t="s">
        <v>348</v>
      </c>
      <c r="B12" s="112">
        <v>610</v>
      </c>
      <c r="C12" s="111"/>
      <c r="D12" s="111"/>
      <c r="E12" s="111"/>
      <c r="F12" s="112"/>
      <c r="G12" s="21">
        <v>610</v>
      </c>
      <c r="H12" s="2"/>
      <c r="I12" s="2"/>
      <c r="J12" s="2"/>
      <c r="K12" s="21"/>
      <c r="L12" s="119">
        <v>610</v>
      </c>
      <c r="M12" s="120"/>
      <c r="N12" s="120"/>
      <c r="O12" s="120"/>
      <c r="P12" s="119"/>
    </row>
    <row r="13" spans="1:16" ht="14.25" customHeight="1">
      <c r="A13" s="87" t="s">
        <v>349</v>
      </c>
      <c r="B13" s="112"/>
      <c r="C13" s="111"/>
      <c r="D13" s="111"/>
      <c r="E13" s="111"/>
      <c r="F13" s="112"/>
      <c r="G13" s="21"/>
      <c r="H13" s="2"/>
      <c r="I13" s="2"/>
      <c r="J13" s="2"/>
      <c r="K13" s="21"/>
      <c r="L13" s="119"/>
      <c r="M13" s="120"/>
      <c r="N13" s="120"/>
      <c r="O13" s="120"/>
      <c r="P13" s="119"/>
    </row>
    <row r="14" spans="1:16" ht="14.25" customHeight="1">
      <c r="A14" s="87" t="s">
        <v>350</v>
      </c>
      <c r="B14" s="112">
        <v>170</v>
      </c>
      <c r="C14" s="111"/>
      <c r="D14" s="111"/>
      <c r="E14" s="111"/>
      <c r="F14" s="112"/>
      <c r="G14" s="21">
        <v>170</v>
      </c>
      <c r="H14" s="2"/>
      <c r="I14" s="2"/>
      <c r="J14" s="2"/>
      <c r="K14" s="21"/>
      <c r="L14" s="119">
        <v>170</v>
      </c>
      <c r="M14" s="120"/>
      <c r="N14" s="120"/>
      <c r="O14" s="120"/>
      <c r="P14" s="119"/>
    </row>
    <row r="15" spans="1:16" ht="14.25" customHeight="1">
      <c r="A15" s="87" t="s">
        <v>351</v>
      </c>
      <c r="B15" s="112">
        <v>0</v>
      </c>
      <c r="C15" s="111"/>
      <c r="D15" s="111"/>
      <c r="E15" s="111"/>
      <c r="F15" s="112"/>
      <c r="G15" s="21">
        <v>0</v>
      </c>
      <c r="H15" s="2"/>
      <c r="I15" s="2"/>
      <c r="J15" s="2"/>
      <c r="K15" s="21"/>
      <c r="L15" s="119">
        <v>0</v>
      </c>
      <c r="M15" s="120"/>
      <c r="N15" s="120"/>
      <c r="O15" s="120"/>
      <c r="P15" s="119"/>
    </row>
    <row r="16" spans="1:16" ht="14.25" customHeight="1">
      <c r="A16" s="87" t="s">
        <v>352</v>
      </c>
      <c r="B16" s="112"/>
      <c r="C16" s="111"/>
      <c r="D16" s="111"/>
      <c r="E16" s="111"/>
      <c r="F16" s="112"/>
      <c r="G16" s="21"/>
      <c r="H16" s="2"/>
      <c r="I16" s="2"/>
      <c r="J16" s="2"/>
      <c r="K16" s="21"/>
      <c r="L16" s="119"/>
      <c r="M16" s="120"/>
      <c r="N16" s="120"/>
      <c r="O16" s="120"/>
      <c r="P16" s="119"/>
    </row>
    <row r="17" spans="1:16" ht="14.25" customHeight="1">
      <c r="A17" s="87" t="s">
        <v>87</v>
      </c>
      <c r="B17" s="112">
        <v>0</v>
      </c>
      <c r="C17" s="111"/>
      <c r="D17" s="111"/>
      <c r="E17" s="111"/>
      <c r="F17" s="112"/>
      <c r="G17" s="21">
        <v>0</v>
      </c>
      <c r="H17" s="2"/>
      <c r="I17" s="2"/>
      <c r="J17" s="2"/>
      <c r="K17" s="21"/>
      <c r="L17" s="119">
        <v>0</v>
      </c>
      <c r="M17" s="120"/>
      <c r="N17" s="120"/>
      <c r="O17" s="120"/>
      <c r="P17" s="119"/>
    </row>
    <row r="18" spans="1:16" ht="14.25" customHeight="1">
      <c r="A18" s="87" t="s">
        <v>353</v>
      </c>
      <c r="B18" s="112">
        <v>658</v>
      </c>
      <c r="C18" s="111"/>
      <c r="D18" s="111"/>
      <c r="E18" s="111"/>
      <c r="F18" s="112"/>
      <c r="G18" s="21">
        <v>658</v>
      </c>
      <c r="H18" s="2"/>
      <c r="I18" s="2"/>
      <c r="J18" s="2"/>
      <c r="K18" s="21"/>
      <c r="L18" s="119">
        <v>658</v>
      </c>
      <c r="M18" s="120"/>
      <c r="N18" s="120"/>
      <c r="O18" s="120"/>
      <c r="P18" s="119"/>
    </row>
    <row r="19" spans="1:16" ht="14.25" customHeight="1">
      <c r="A19" s="87" t="s">
        <v>354</v>
      </c>
      <c r="B19" s="112">
        <v>482</v>
      </c>
      <c r="C19" s="111"/>
      <c r="D19" s="111"/>
      <c r="E19" s="111"/>
      <c r="F19" s="112"/>
      <c r="G19" s="21">
        <v>482</v>
      </c>
      <c r="H19" s="2"/>
      <c r="I19" s="2"/>
      <c r="J19" s="2"/>
      <c r="K19" s="21"/>
      <c r="L19" s="119">
        <v>482</v>
      </c>
      <c r="M19" s="120"/>
      <c r="N19" s="120"/>
      <c r="O19" s="120"/>
      <c r="P19" s="119"/>
    </row>
    <row r="20" spans="1:16" ht="14.25" customHeight="1">
      <c r="A20" s="87" t="s">
        <v>355</v>
      </c>
      <c r="B20" s="112">
        <v>250</v>
      </c>
      <c r="C20" s="111"/>
      <c r="D20" s="111"/>
      <c r="E20" s="111"/>
      <c r="F20" s="112"/>
      <c r="G20" s="21">
        <v>250</v>
      </c>
      <c r="H20" s="2"/>
      <c r="I20" s="2"/>
      <c r="J20" s="2"/>
      <c r="K20" s="21"/>
      <c r="L20" s="119">
        <v>250</v>
      </c>
      <c r="M20" s="120"/>
      <c r="N20" s="120"/>
      <c r="O20" s="120"/>
      <c r="P20" s="119"/>
    </row>
    <row r="21" spans="1:16" ht="14.25" customHeight="1">
      <c r="A21" s="87" t="s">
        <v>356</v>
      </c>
      <c r="B21" s="112">
        <v>0</v>
      </c>
      <c r="C21" s="111"/>
      <c r="D21" s="111"/>
      <c r="E21" s="111"/>
      <c r="F21" s="112"/>
      <c r="G21" s="21">
        <v>0</v>
      </c>
      <c r="H21" s="2"/>
      <c r="I21" s="2"/>
      <c r="J21" s="2"/>
      <c r="K21" s="21"/>
      <c r="L21" s="119">
        <v>0</v>
      </c>
      <c r="M21" s="120"/>
      <c r="N21" s="120"/>
      <c r="O21" s="120"/>
      <c r="P21" s="119"/>
    </row>
    <row r="22" spans="1:16" ht="14.25" customHeight="1">
      <c r="A22" s="87" t="s">
        <v>357</v>
      </c>
      <c r="B22" s="112">
        <v>0</v>
      </c>
      <c r="C22" s="111"/>
      <c r="D22" s="111"/>
      <c r="E22" s="111"/>
      <c r="F22" s="112"/>
      <c r="G22" s="21">
        <v>0</v>
      </c>
      <c r="H22" s="2"/>
      <c r="I22" s="2"/>
      <c r="J22" s="2"/>
      <c r="K22" s="21"/>
      <c r="L22" s="119">
        <v>0</v>
      </c>
      <c r="M22" s="120"/>
      <c r="N22" s="120"/>
      <c r="O22" s="120"/>
      <c r="P22" s="119"/>
    </row>
    <row r="23" spans="1:16" ht="14.25" customHeight="1">
      <c r="A23" s="87" t="s">
        <v>358</v>
      </c>
      <c r="B23" s="112">
        <v>310</v>
      </c>
      <c r="C23" s="111"/>
      <c r="D23" s="111"/>
      <c r="E23" s="111"/>
      <c r="F23" s="112"/>
      <c r="G23" s="21">
        <v>310</v>
      </c>
      <c r="H23" s="2"/>
      <c r="I23" s="2"/>
      <c r="J23" s="2"/>
      <c r="K23" s="21"/>
      <c r="L23" s="119">
        <v>310</v>
      </c>
      <c r="M23" s="120"/>
      <c r="N23" s="120"/>
      <c r="O23" s="120"/>
      <c r="P23" s="119"/>
    </row>
    <row r="24" spans="1:16" ht="14.25" customHeight="1">
      <c r="A24" s="87" t="s">
        <v>359</v>
      </c>
      <c r="B24" s="112">
        <v>0</v>
      </c>
      <c r="C24" s="111"/>
      <c r="D24" s="111"/>
      <c r="E24" s="111"/>
      <c r="F24" s="112"/>
      <c r="G24" s="21">
        <v>0</v>
      </c>
      <c r="H24" s="2"/>
      <c r="I24" s="2"/>
      <c r="J24" s="2"/>
      <c r="K24" s="21"/>
      <c r="L24" s="119">
        <v>0</v>
      </c>
      <c r="M24" s="120"/>
      <c r="N24" s="120"/>
      <c r="O24" s="120"/>
      <c r="P24" s="119"/>
    </row>
    <row r="25" spans="1:16" ht="14.25" customHeight="1">
      <c r="A25" s="87" t="s">
        <v>27</v>
      </c>
      <c r="B25" s="112">
        <v>150</v>
      </c>
      <c r="C25" s="111"/>
      <c r="D25" s="111"/>
      <c r="E25" s="111"/>
      <c r="F25" s="112"/>
      <c r="G25" s="21">
        <v>150</v>
      </c>
      <c r="H25" s="2"/>
      <c r="I25" s="2"/>
      <c r="J25" s="2"/>
      <c r="K25" s="21"/>
      <c r="L25" s="119">
        <v>150</v>
      </c>
      <c r="M25" s="120"/>
      <c r="N25" s="120"/>
      <c r="O25" s="120"/>
      <c r="P25" s="119"/>
    </row>
    <row r="26" spans="1:16" ht="14.25" customHeight="1">
      <c r="A26" s="87" t="s">
        <v>360</v>
      </c>
      <c r="B26" s="112">
        <v>0</v>
      </c>
      <c r="C26" s="111"/>
      <c r="D26" s="111"/>
      <c r="E26" s="111"/>
      <c r="F26" s="112"/>
      <c r="G26" s="21">
        <v>0</v>
      </c>
      <c r="H26" s="2"/>
      <c r="I26" s="2"/>
      <c r="J26" s="2"/>
      <c r="K26" s="21"/>
      <c r="L26" s="119">
        <v>0</v>
      </c>
      <c r="M26" s="120"/>
      <c r="N26" s="120"/>
      <c r="O26" s="120"/>
      <c r="P26" s="119"/>
    </row>
    <row r="27" spans="1:16" ht="14.25" customHeight="1">
      <c r="A27" s="87" t="s">
        <v>361</v>
      </c>
      <c r="B27" s="112">
        <v>500</v>
      </c>
      <c r="C27" s="111"/>
      <c r="D27" s="111"/>
      <c r="E27" s="111"/>
      <c r="F27" s="112"/>
      <c r="G27" s="21">
        <v>500</v>
      </c>
      <c r="H27" s="2"/>
      <c r="I27" s="2"/>
      <c r="J27" s="2"/>
      <c r="K27" s="21"/>
      <c r="L27" s="119">
        <v>500</v>
      </c>
      <c r="M27" s="120"/>
      <c r="N27" s="120"/>
      <c r="O27" s="120"/>
      <c r="P27" s="119"/>
    </row>
    <row r="28" spans="1:16" ht="14.25" customHeight="1">
      <c r="A28" s="87" t="s">
        <v>362</v>
      </c>
      <c r="B28" s="112">
        <v>0</v>
      </c>
      <c r="C28" s="111"/>
      <c r="D28" s="111"/>
      <c r="E28" s="111"/>
      <c r="F28" s="112"/>
      <c r="G28" s="21">
        <v>0</v>
      </c>
      <c r="H28" s="2"/>
      <c r="I28" s="2"/>
      <c r="J28" s="2"/>
      <c r="K28" s="21"/>
      <c r="L28" s="119">
        <v>0</v>
      </c>
      <c r="M28" s="120"/>
      <c r="N28" s="120"/>
      <c r="O28" s="120"/>
      <c r="P28" s="119"/>
    </row>
    <row r="29" spans="1:16" ht="14.25" customHeight="1">
      <c r="A29" s="87" t="s">
        <v>363</v>
      </c>
      <c r="B29" s="112">
        <v>0</v>
      </c>
      <c r="C29" s="111"/>
      <c r="D29" s="111"/>
      <c r="E29" s="111"/>
      <c r="F29" s="112"/>
      <c r="G29" s="21">
        <v>0</v>
      </c>
      <c r="H29" s="2"/>
      <c r="I29" s="2"/>
      <c r="J29" s="2"/>
      <c r="K29" s="21"/>
      <c r="L29" s="119">
        <v>0</v>
      </c>
      <c r="M29" s="120"/>
      <c r="N29" s="120"/>
      <c r="O29" s="120"/>
      <c r="P29" s="119"/>
    </row>
    <row r="30" spans="1:16" ht="14.25" customHeight="1">
      <c r="A30" s="87" t="s">
        <v>364</v>
      </c>
      <c r="B30" s="112">
        <v>0</v>
      </c>
      <c r="C30" s="111"/>
      <c r="D30" s="111"/>
      <c r="E30" s="111"/>
      <c r="F30" s="112"/>
      <c r="G30" s="21">
        <v>0</v>
      </c>
      <c r="H30" s="2"/>
      <c r="I30" s="2"/>
      <c r="J30" s="2"/>
      <c r="K30" s="21"/>
      <c r="L30" s="119">
        <v>0</v>
      </c>
      <c r="M30" s="120"/>
      <c r="N30" s="120"/>
      <c r="O30" s="120"/>
      <c r="P30" s="119"/>
    </row>
    <row r="31" spans="1:16" ht="14.25" customHeight="1">
      <c r="A31" s="87" t="s">
        <v>364</v>
      </c>
      <c r="B31" s="112">
        <v>3400</v>
      </c>
      <c r="C31" s="111"/>
      <c r="D31" s="111"/>
      <c r="E31" s="111"/>
      <c r="F31" s="112"/>
      <c r="G31" s="21">
        <v>3400</v>
      </c>
      <c r="H31" s="2"/>
      <c r="I31" s="2"/>
      <c r="J31" s="2"/>
      <c r="K31" s="21"/>
      <c r="L31" s="119">
        <v>3400</v>
      </c>
      <c r="M31" s="120"/>
      <c r="N31" s="120"/>
      <c r="O31" s="120"/>
      <c r="P31" s="119"/>
    </row>
    <row r="32" spans="1:16" ht="14.25" customHeight="1">
      <c r="A32" s="87" t="s">
        <v>365</v>
      </c>
      <c r="B32" s="112">
        <v>2500</v>
      </c>
      <c r="C32" s="111"/>
      <c r="D32" s="111"/>
      <c r="E32" s="111"/>
      <c r="F32" s="112"/>
      <c r="G32" s="21">
        <v>2500</v>
      </c>
      <c r="H32" s="2"/>
      <c r="I32" s="2"/>
      <c r="J32" s="2"/>
      <c r="K32" s="21"/>
      <c r="L32" s="119">
        <v>2500</v>
      </c>
      <c r="M32" s="120"/>
      <c r="N32" s="120"/>
      <c r="O32" s="120"/>
      <c r="P32" s="119"/>
    </row>
    <row r="33" spans="1:16" ht="14.25" customHeight="1">
      <c r="A33" s="87" t="s">
        <v>365</v>
      </c>
      <c r="B33" s="112">
        <v>4500</v>
      </c>
      <c r="C33" s="111"/>
      <c r="D33" s="111"/>
      <c r="E33" s="111"/>
      <c r="F33" s="112"/>
      <c r="G33" s="21">
        <v>4500</v>
      </c>
      <c r="H33" s="2"/>
      <c r="I33" s="2"/>
      <c r="J33" s="2"/>
      <c r="K33" s="21"/>
      <c r="L33" s="119">
        <v>4500</v>
      </c>
      <c r="M33" s="120"/>
      <c r="N33" s="120"/>
      <c r="O33" s="120"/>
      <c r="P33" s="119"/>
    </row>
    <row r="34" spans="1:16" ht="14.25" customHeight="1">
      <c r="A34" s="87" t="s">
        <v>366</v>
      </c>
      <c r="B34" s="112">
        <v>0</v>
      </c>
      <c r="C34" s="111"/>
      <c r="D34" s="111"/>
      <c r="E34" s="111"/>
      <c r="F34" s="112"/>
      <c r="G34" s="21">
        <v>0</v>
      </c>
      <c r="H34" s="2"/>
      <c r="I34" s="2"/>
      <c r="J34" s="2"/>
      <c r="K34" s="21"/>
      <c r="L34" s="119">
        <v>0</v>
      </c>
      <c r="M34" s="120"/>
      <c r="N34" s="120"/>
      <c r="O34" s="120"/>
      <c r="P34" s="119"/>
    </row>
    <row r="35" spans="1:16" ht="14.25" customHeight="1">
      <c r="A35" s="87" t="s">
        <v>367</v>
      </c>
      <c r="B35" s="112"/>
      <c r="C35" s="111"/>
      <c r="D35" s="111"/>
      <c r="E35" s="111"/>
      <c r="F35" s="112"/>
      <c r="G35" s="21"/>
      <c r="H35" s="2"/>
      <c r="I35" s="2"/>
      <c r="J35" s="2"/>
      <c r="K35" s="21"/>
      <c r="L35" s="119"/>
      <c r="M35" s="120"/>
      <c r="N35" s="120"/>
      <c r="O35" s="120"/>
      <c r="P35" s="119"/>
    </row>
    <row r="36" spans="1:16" ht="14.25" customHeight="1">
      <c r="A36" s="87" t="s">
        <v>368</v>
      </c>
      <c r="B36" s="112">
        <v>500</v>
      </c>
      <c r="C36" s="111"/>
      <c r="D36" s="111"/>
      <c r="E36" s="111"/>
      <c r="F36" s="112"/>
      <c r="G36" s="21">
        <v>500</v>
      </c>
      <c r="H36" s="2"/>
      <c r="I36" s="2"/>
      <c r="J36" s="2"/>
      <c r="K36" s="21"/>
      <c r="L36" s="119">
        <v>500</v>
      </c>
      <c r="M36" s="120"/>
      <c r="N36" s="120"/>
      <c r="O36" s="120"/>
      <c r="P36" s="119"/>
    </row>
    <row r="37" spans="1:16" ht="14.25" customHeight="1">
      <c r="A37" s="87" t="s">
        <v>369</v>
      </c>
      <c r="B37" s="112">
        <v>1260</v>
      </c>
      <c r="C37" s="111"/>
      <c r="D37" s="111"/>
      <c r="E37" s="111"/>
      <c r="F37" s="112"/>
      <c r="G37" s="21">
        <v>1260</v>
      </c>
      <c r="H37" s="2"/>
      <c r="I37" s="2"/>
      <c r="J37" s="2"/>
      <c r="K37" s="21"/>
      <c r="L37" s="119">
        <v>1260</v>
      </c>
      <c r="M37" s="120"/>
      <c r="N37" s="120"/>
      <c r="O37" s="120"/>
      <c r="P37" s="119"/>
    </row>
    <row r="38" spans="1:16" ht="14.25" customHeight="1">
      <c r="A38" s="87" t="s">
        <v>370</v>
      </c>
      <c r="B38" s="112">
        <v>0</v>
      </c>
      <c r="C38" s="111"/>
      <c r="D38" s="111"/>
      <c r="E38" s="111"/>
      <c r="F38" s="112"/>
      <c r="G38" s="21">
        <v>0</v>
      </c>
      <c r="H38" s="2"/>
      <c r="I38" s="2"/>
      <c r="J38" s="2"/>
      <c r="K38" s="21"/>
      <c r="L38" s="119">
        <v>0</v>
      </c>
      <c r="M38" s="120"/>
      <c r="N38" s="120"/>
      <c r="O38" s="120"/>
      <c r="P38" s="119"/>
    </row>
    <row r="39" spans="1:16" ht="14.25" customHeight="1">
      <c r="A39" s="87" t="s">
        <v>371</v>
      </c>
      <c r="B39" s="112">
        <v>0</v>
      </c>
      <c r="C39" s="111"/>
      <c r="D39" s="111"/>
      <c r="E39" s="111"/>
      <c r="F39" s="112"/>
      <c r="G39" s="21">
        <v>0</v>
      </c>
      <c r="H39" s="2"/>
      <c r="I39" s="2"/>
      <c r="J39" s="2"/>
      <c r="K39" s="21"/>
      <c r="L39" s="119">
        <v>400</v>
      </c>
      <c r="M39" s="120"/>
      <c r="N39" s="120"/>
      <c r="O39" s="120"/>
      <c r="P39" s="119"/>
    </row>
    <row r="40" spans="1:16" ht="14.25" customHeight="1">
      <c r="A40" s="87" t="s">
        <v>372</v>
      </c>
      <c r="B40" s="112">
        <v>400</v>
      </c>
      <c r="C40" s="111"/>
      <c r="D40" s="111"/>
      <c r="E40" s="111"/>
      <c r="F40" s="112"/>
      <c r="G40" s="21">
        <v>400</v>
      </c>
      <c r="H40" s="2"/>
      <c r="I40" s="2"/>
      <c r="J40" s="2"/>
      <c r="K40" s="21"/>
      <c r="L40" s="119">
        <v>400</v>
      </c>
      <c r="M40" s="120"/>
      <c r="N40" s="120"/>
      <c r="O40" s="120"/>
      <c r="P40" s="119"/>
    </row>
    <row r="41" spans="1:16" ht="14.25" customHeight="1">
      <c r="A41" s="87" t="s">
        <v>373</v>
      </c>
      <c r="B41" s="112">
        <v>1000</v>
      </c>
      <c r="C41" s="111"/>
      <c r="D41" s="111"/>
      <c r="E41" s="111"/>
      <c r="F41" s="112"/>
      <c r="G41" s="21">
        <v>1000</v>
      </c>
      <c r="H41" s="2"/>
      <c r="I41" s="2"/>
      <c r="J41" s="2"/>
      <c r="K41" s="21"/>
      <c r="L41" s="119">
        <v>1000</v>
      </c>
      <c r="M41" s="120"/>
      <c r="N41" s="120"/>
      <c r="O41" s="120"/>
      <c r="P41" s="119"/>
    </row>
    <row r="42" spans="1:16" ht="14.25" customHeight="1">
      <c r="A42" s="87" t="s">
        <v>374</v>
      </c>
      <c r="B42" s="112">
        <v>0</v>
      </c>
      <c r="C42" s="111"/>
      <c r="D42" s="111"/>
      <c r="E42" s="111"/>
      <c r="F42" s="112"/>
      <c r="G42" s="21">
        <v>0</v>
      </c>
      <c r="H42" s="2"/>
      <c r="I42" s="2"/>
      <c r="J42" s="2"/>
      <c r="K42" s="21"/>
      <c r="L42" s="119">
        <v>0</v>
      </c>
      <c r="M42" s="120"/>
      <c r="N42" s="120"/>
      <c r="O42" s="120"/>
      <c r="P42" s="119"/>
    </row>
    <row r="43" spans="1:16" ht="14.25" customHeight="1">
      <c r="A43" s="87" t="s">
        <v>375</v>
      </c>
      <c r="B43" s="112">
        <v>0</v>
      </c>
      <c r="C43" s="111"/>
      <c r="D43" s="111"/>
      <c r="E43" s="111"/>
      <c r="F43" s="112"/>
      <c r="G43" s="21">
        <v>0</v>
      </c>
      <c r="H43" s="2"/>
      <c r="I43" s="2"/>
      <c r="J43" s="2"/>
      <c r="K43" s="21"/>
      <c r="L43" s="119">
        <v>0</v>
      </c>
      <c r="M43" s="120"/>
      <c r="N43" s="120"/>
      <c r="O43" s="120"/>
      <c r="P43" s="119"/>
    </row>
    <row r="44" spans="1:16" ht="14.25" customHeight="1">
      <c r="A44" s="87" t="s">
        <v>376</v>
      </c>
      <c r="B44" s="111"/>
      <c r="C44" s="112">
        <v>1500</v>
      </c>
      <c r="D44" s="111"/>
      <c r="E44" s="111"/>
      <c r="F44" s="112"/>
      <c r="G44" s="2"/>
      <c r="H44" s="21">
        <v>500</v>
      </c>
      <c r="I44" s="2"/>
      <c r="J44" s="2"/>
      <c r="K44" s="21"/>
      <c r="L44" s="120"/>
      <c r="M44" s="119">
        <v>500</v>
      </c>
      <c r="N44" s="120"/>
      <c r="O44" s="120"/>
      <c r="P44" s="119"/>
    </row>
    <row r="45" spans="1:16" ht="14.25" customHeight="1">
      <c r="A45" s="87" t="s">
        <v>377</v>
      </c>
      <c r="B45" s="111"/>
      <c r="C45" s="112">
        <v>1500</v>
      </c>
      <c r="D45" s="111"/>
      <c r="E45" s="111"/>
      <c r="F45" s="112"/>
      <c r="G45" s="2"/>
      <c r="H45" s="21">
        <v>500</v>
      </c>
      <c r="I45" s="2"/>
      <c r="J45" s="2"/>
      <c r="K45" s="21"/>
      <c r="L45" s="120"/>
      <c r="M45" s="119">
        <v>500</v>
      </c>
      <c r="N45" s="120"/>
      <c r="O45" s="120"/>
      <c r="P45" s="119"/>
    </row>
    <row r="46" spans="1:16" ht="14.25" customHeight="1">
      <c r="A46" s="87" t="s">
        <v>48</v>
      </c>
      <c r="B46" s="111"/>
      <c r="C46" s="112">
        <v>1270</v>
      </c>
      <c r="D46" s="111"/>
      <c r="E46" s="111"/>
      <c r="F46" s="112"/>
      <c r="G46" s="2"/>
      <c r="H46" s="21">
        <v>1270</v>
      </c>
      <c r="I46" s="2"/>
      <c r="J46" s="2"/>
      <c r="K46" s="21"/>
      <c r="L46" s="120"/>
      <c r="M46" s="119">
        <v>1270</v>
      </c>
      <c r="N46" s="120"/>
      <c r="O46" s="120"/>
      <c r="P46" s="119"/>
    </row>
    <row r="47" spans="1:16" ht="14.25" customHeight="1">
      <c r="A47" s="87" t="s">
        <v>5</v>
      </c>
      <c r="B47" s="111"/>
      <c r="C47" s="112">
        <v>500</v>
      </c>
      <c r="D47" s="111"/>
      <c r="E47" s="111"/>
      <c r="F47" s="112"/>
      <c r="G47" s="2"/>
      <c r="H47" s="21">
        <v>500</v>
      </c>
      <c r="I47" s="2"/>
      <c r="J47" s="2"/>
      <c r="K47" s="21"/>
      <c r="L47" s="120"/>
      <c r="M47" s="119">
        <v>0</v>
      </c>
      <c r="N47" s="120"/>
      <c r="O47" s="120"/>
      <c r="P47" s="119"/>
    </row>
    <row r="48" spans="1:16" ht="14.25" customHeight="1">
      <c r="A48" s="87" t="s">
        <v>378</v>
      </c>
      <c r="B48" s="111"/>
      <c r="C48" s="112">
        <v>1295</v>
      </c>
      <c r="D48" s="111"/>
      <c r="E48" s="111"/>
      <c r="F48" s="112"/>
      <c r="G48" s="2"/>
      <c r="H48" s="21">
        <v>1295</v>
      </c>
      <c r="I48" s="2"/>
      <c r="J48" s="2"/>
      <c r="K48" s="21"/>
      <c r="L48" s="120"/>
      <c r="M48" s="119">
        <v>1295</v>
      </c>
      <c r="N48" s="120"/>
      <c r="O48" s="120"/>
      <c r="P48" s="119"/>
    </row>
    <row r="49" spans="1:16" ht="14.25" customHeight="1">
      <c r="A49" s="87" t="s">
        <v>379</v>
      </c>
      <c r="B49" s="111"/>
      <c r="C49" s="112">
        <v>50</v>
      </c>
      <c r="D49" s="111"/>
      <c r="E49" s="111"/>
      <c r="F49" s="112"/>
      <c r="G49" s="2"/>
      <c r="H49" s="21"/>
      <c r="I49" s="2"/>
      <c r="J49" s="2"/>
      <c r="K49" s="21"/>
      <c r="L49" s="120"/>
      <c r="M49" s="119"/>
      <c r="N49" s="120"/>
      <c r="O49" s="120"/>
      <c r="P49" s="119"/>
    </row>
    <row r="50" spans="1:16" ht="14.25" customHeight="1">
      <c r="A50" s="87" t="s">
        <v>380</v>
      </c>
      <c r="B50" s="111"/>
      <c r="C50" s="112">
        <v>710</v>
      </c>
      <c r="D50" s="111"/>
      <c r="E50" s="111"/>
      <c r="F50" s="112"/>
      <c r="G50" s="2"/>
      <c r="H50" s="21">
        <v>710</v>
      </c>
      <c r="I50" s="2"/>
      <c r="J50" s="2"/>
      <c r="K50" s="21"/>
      <c r="L50" s="120"/>
      <c r="M50" s="119">
        <v>710</v>
      </c>
      <c r="N50" s="120"/>
      <c r="O50" s="120"/>
      <c r="P50" s="119"/>
    </row>
    <row r="51" spans="1:16" ht="14.25" customHeight="1">
      <c r="A51" s="87" t="s">
        <v>381</v>
      </c>
      <c r="B51" s="111"/>
      <c r="C51" s="112">
        <v>232</v>
      </c>
      <c r="D51" s="111"/>
      <c r="E51" s="111"/>
      <c r="F51" s="112"/>
      <c r="G51" s="2"/>
      <c r="H51" s="21">
        <v>232</v>
      </c>
      <c r="I51" s="2"/>
      <c r="J51" s="2"/>
      <c r="K51" s="21"/>
      <c r="L51" s="120"/>
      <c r="M51" s="119">
        <v>232</v>
      </c>
      <c r="N51" s="120"/>
      <c r="O51" s="120"/>
      <c r="P51" s="119"/>
    </row>
    <row r="52" spans="1:16" ht="14.25" customHeight="1">
      <c r="A52" s="87" t="s">
        <v>382</v>
      </c>
      <c r="B52" s="111"/>
      <c r="C52" s="112">
        <v>120</v>
      </c>
      <c r="D52" s="111"/>
      <c r="E52" s="111"/>
      <c r="F52" s="112"/>
      <c r="G52" s="2"/>
      <c r="H52" s="21">
        <v>120</v>
      </c>
      <c r="I52" s="2"/>
      <c r="J52" s="2"/>
      <c r="K52" s="21"/>
      <c r="L52" s="120"/>
      <c r="M52" s="119">
        <v>120</v>
      </c>
      <c r="N52" s="120"/>
      <c r="O52" s="120"/>
      <c r="P52" s="119"/>
    </row>
    <row r="53" spans="1:16" ht="14.25" customHeight="1">
      <c r="A53" s="87" t="s">
        <v>383</v>
      </c>
      <c r="B53" s="111"/>
      <c r="C53" s="112">
        <v>55</v>
      </c>
      <c r="D53" s="111"/>
      <c r="E53" s="111"/>
      <c r="F53" s="112"/>
      <c r="G53" s="2"/>
      <c r="H53" s="21">
        <v>55</v>
      </c>
      <c r="I53" s="2"/>
      <c r="J53" s="2"/>
      <c r="K53" s="21"/>
      <c r="L53" s="120"/>
      <c r="M53" s="119">
        <v>55</v>
      </c>
      <c r="N53" s="120"/>
      <c r="O53" s="120"/>
      <c r="P53" s="119"/>
    </row>
    <row r="54" spans="1:16" ht="14.25" customHeight="1">
      <c r="A54" s="87" t="s">
        <v>384</v>
      </c>
      <c r="B54" s="111"/>
      <c r="C54" s="112">
        <v>42.44</v>
      </c>
      <c r="D54" s="111"/>
      <c r="E54" s="111"/>
      <c r="F54" s="112"/>
      <c r="G54" s="2"/>
      <c r="H54" s="21">
        <v>42.44</v>
      </c>
      <c r="I54" s="2"/>
      <c r="J54" s="2"/>
      <c r="K54" s="21"/>
      <c r="L54" s="120"/>
      <c r="M54" s="119">
        <v>42.44</v>
      </c>
      <c r="N54" s="120"/>
      <c r="O54" s="120"/>
      <c r="P54" s="119"/>
    </row>
    <row r="55" spans="1:16" ht="14.25" customHeight="1">
      <c r="A55" s="87" t="s">
        <v>385</v>
      </c>
      <c r="B55" s="111"/>
      <c r="C55" s="112">
        <v>85.08</v>
      </c>
      <c r="D55" s="111"/>
      <c r="E55" s="111"/>
      <c r="F55" s="112"/>
      <c r="G55" s="2"/>
      <c r="H55" s="21">
        <v>85.08</v>
      </c>
      <c r="I55" s="2"/>
      <c r="J55" s="2"/>
      <c r="K55" s="21"/>
      <c r="L55" s="120"/>
      <c r="M55" s="119">
        <v>85.08</v>
      </c>
      <c r="N55" s="120"/>
      <c r="O55" s="120"/>
      <c r="P55" s="119"/>
    </row>
    <row r="56" spans="1:16" ht="14.25" customHeight="1">
      <c r="A56" s="87" t="s">
        <v>386</v>
      </c>
      <c r="B56" s="111"/>
      <c r="C56" s="112">
        <v>599.9</v>
      </c>
      <c r="D56" s="111"/>
      <c r="E56" s="111"/>
      <c r="F56" s="112"/>
      <c r="G56" s="2"/>
      <c r="H56" s="21">
        <v>599.9</v>
      </c>
      <c r="I56" s="2"/>
      <c r="J56" s="2"/>
      <c r="K56" s="21"/>
      <c r="L56" s="120"/>
      <c r="M56" s="119">
        <v>599.9</v>
      </c>
      <c r="N56" s="120"/>
      <c r="O56" s="120"/>
      <c r="P56" s="119"/>
    </row>
    <row r="57" spans="1:16" ht="14.25" customHeight="1">
      <c r="A57" s="87" t="s">
        <v>387</v>
      </c>
      <c r="B57" s="111"/>
      <c r="C57" s="112">
        <v>512.34</v>
      </c>
      <c r="D57" s="111"/>
      <c r="E57" s="111"/>
      <c r="F57" s="112"/>
      <c r="G57" s="2"/>
      <c r="H57" s="21">
        <v>512.34</v>
      </c>
      <c r="I57" s="2"/>
      <c r="J57" s="2"/>
      <c r="K57" s="21"/>
      <c r="L57" s="120"/>
      <c r="M57" s="119">
        <v>512.34</v>
      </c>
      <c r="N57" s="120"/>
      <c r="O57" s="120"/>
      <c r="P57" s="119"/>
    </row>
    <row r="58" spans="1:16" ht="14.25" customHeight="1">
      <c r="A58" s="87" t="s">
        <v>9</v>
      </c>
      <c r="B58" s="111"/>
      <c r="C58" s="112">
        <v>210</v>
      </c>
      <c r="D58" s="111"/>
      <c r="E58" s="111"/>
      <c r="F58" s="112"/>
      <c r="G58" s="2"/>
      <c r="H58" s="21">
        <v>210</v>
      </c>
      <c r="I58" s="2"/>
      <c r="J58" s="2"/>
      <c r="K58" s="21"/>
      <c r="L58" s="120"/>
      <c r="M58" s="119">
        <v>210</v>
      </c>
      <c r="N58" s="120"/>
      <c r="O58" s="120"/>
      <c r="P58" s="119"/>
    </row>
    <row r="59" spans="1:16" ht="14.25" customHeight="1">
      <c r="A59" s="87" t="s">
        <v>388</v>
      </c>
      <c r="B59" s="111"/>
      <c r="C59" s="112">
        <v>413.76</v>
      </c>
      <c r="D59" s="111"/>
      <c r="E59" s="111"/>
      <c r="F59" s="112"/>
      <c r="G59" s="2"/>
      <c r="H59" s="21">
        <v>413.76</v>
      </c>
      <c r="I59" s="2"/>
      <c r="J59" s="2"/>
      <c r="K59" s="21"/>
      <c r="L59" s="120"/>
      <c r="M59" s="119">
        <v>413.76</v>
      </c>
      <c r="N59" s="120"/>
      <c r="O59" s="120"/>
      <c r="P59" s="119"/>
    </row>
    <row r="60" spans="1:16" ht="14.25" customHeight="1">
      <c r="A60" s="87" t="s">
        <v>389</v>
      </c>
      <c r="B60" s="111"/>
      <c r="C60" s="112">
        <v>79.790000000000006</v>
      </c>
      <c r="D60" s="111"/>
      <c r="E60" s="111"/>
      <c r="F60" s="112"/>
      <c r="G60" s="2"/>
      <c r="H60" s="21">
        <v>79.790000000000006</v>
      </c>
      <c r="I60" s="2"/>
      <c r="J60" s="2"/>
      <c r="K60" s="21"/>
      <c r="L60" s="120"/>
      <c r="M60" s="119">
        <v>79.790000000000006</v>
      </c>
      <c r="N60" s="120"/>
      <c r="O60" s="120"/>
      <c r="P60" s="119"/>
    </row>
    <row r="61" spans="1:16" ht="14.25" customHeight="1">
      <c r="A61" s="87" t="s">
        <v>390</v>
      </c>
      <c r="B61" s="111"/>
      <c r="C61" s="112">
        <v>500</v>
      </c>
      <c r="D61" s="111"/>
      <c r="E61" s="111"/>
      <c r="F61" s="112"/>
      <c r="G61" s="2"/>
      <c r="H61" s="21"/>
      <c r="I61" s="2"/>
      <c r="J61" s="2"/>
      <c r="K61" s="21"/>
      <c r="L61" s="120"/>
      <c r="M61" s="119"/>
      <c r="N61" s="120"/>
      <c r="O61" s="120"/>
      <c r="P61" s="119"/>
    </row>
    <row r="62" spans="1:16" ht="14.25" customHeight="1">
      <c r="A62" s="87" t="s">
        <v>391</v>
      </c>
      <c r="B62" s="111"/>
      <c r="C62" s="112">
        <v>740</v>
      </c>
      <c r="D62" s="111"/>
      <c r="E62" s="111"/>
      <c r="F62" s="112"/>
      <c r="G62" s="2"/>
      <c r="H62" s="21">
        <v>390</v>
      </c>
      <c r="I62" s="2"/>
      <c r="J62" s="2"/>
      <c r="K62" s="21"/>
      <c r="L62" s="120"/>
      <c r="M62" s="119">
        <v>390</v>
      </c>
      <c r="N62" s="120"/>
      <c r="O62" s="120"/>
      <c r="P62" s="119"/>
    </row>
    <row r="63" spans="1:16" ht="14.25" customHeight="1">
      <c r="A63" s="87" t="s">
        <v>392</v>
      </c>
      <c r="B63" s="111"/>
      <c r="C63" s="112">
        <v>74</v>
      </c>
      <c r="D63" s="111"/>
      <c r="E63" s="111"/>
      <c r="F63" s="112"/>
      <c r="G63" s="2"/>
      <c r="H63" s="21">
        <v>74</v>
      </c>
      <c r="I63" s="2"/>
      <c r="J63" s="2"/>
      <c r="K63" s="21"/>
      <c r="L63" s="120"/>
      <c r="M63" s="119">
        <v>74</v>
      </c>
      <c r="N63" s="120"/>
      <c r="O63" s="120"/>
      <c r="P63" s="119"/>
    </row>
    <row r="64" spans="1:16" ht="14.25" customHeight="1">
      <c r="A64" s="87" t="s">
        <v>393</v>
      </c>
      <c r="B64" s="111"/>
      <c r="C64" s="112">
        <v>335</v>
      </c>
      <c r="D64" s="111"/>
      <c r="E64" s="111"/>
      <c r="F64" s="112"/>
      <c r="G64" s="2"/>
      <c r="H64" s="21">
        <v>335</v>
      </c>
      <c r="I64" s="2"/>
      <c r="J64" s="2"/>
      <c r="K64" s="21"/>
      <c r="L64" s="120"/>
      <c r="M64" s="119">
        <v>335</v>
      </c>
      <c r="N64" s="120"/>
      <c r="O64" s="120"/>
      <c r="P64" s="119"/>
    </row>
    <row r="65" spans="1:16" ht="14.25" customHeight="1">
      <c r="A65" s="87" t="s">
        <v>394</v>
      </c>
      <c r="B65" s="111"/>
      <c r="C65" s="112">
        <v>158</v>
      </c>
      <c r="D65" s="111"/>
      <c r="E65" s="111"/>
      <c r="F65" s="112"/>
      <c r="G65" s="2"/>
      <c r="H65" s="21">
        <v>2700</v>
      </c>
      <c r="I65" s="2"/>
      <c r="J65" s="2"/>
      <c r="K65" s="21"/>
      <c r="L65" s="120"/>
      <c r="M65" s="119">
        <v>2700</v>
      </c>
      <c r="N65" s="120"/>
      <c r="O65" s="120"/>
      <c r="P65" s="119"/>
    </row>
    <row r="66" spans="1:16" ht="14.25" customHeight="1">
      <c r="A66" s="87" t="s">
        <v>395</v>
      </c>
      <c r="B66" s="111"/>
      <c r="C66" s="111"/>
      <c r="D66" s="112">
        <v>300</v>
      </c>
      <c r="E66" s="111"/>
      <c r="F66" s="112"/>
      <c r="G66" s="2"/>
      <c r="H66" s="2"/>
      <c r="I66" s="21">
        <v>300</v>
      </c>
      <c r="J66" s="2"/>
      <c r="K66" s="21"/>
      <c r="L66" s="120"/>
      <c r="M66" s="120"/>
      <c r="N66" s="119">
        <v>300</v>
      </c>
      <c r="O66" s="120"/>
      <c r="P66" s="119"/>
    </row>
    <row r="67" spans="1:16" ht="14.25" customHeight="1">
      <c r="A67" s="121" t="s">
        <v>396</v>
      </c>
      <c r="B67" s="111"/>
      <c r="C67" s="111"/>
      <c r="D67" s="112">
        <v>235</v>
      </c>
      <c r="E67" s="111"/>
      <c r="F67" s="112"/>
      <c r="G67" s="2"/>
      <c r="H67" s="2"/>
      <c r="I67" s="21">
        <v>335</v>
      </c>
      <c r="J67" s="2"/>
      <c r="K67" s="21"/>
      <c r="L67" s="120"/>
      <c r="M67" s="120"/>
      <c r="N67" s="119">
        <v>335</v>
      </c>
      <c r="O67" s="120"/>
      <c r="P67" s="119"/>
    </row>
    <row r="68" spans="1:16" ht="14.25" customHeight="1">
      <c r="A68" s="121" t="s">
        <v>397</v>
      </c>
      <c r="B68" s="111"/>
      <c r="C68" s="111"/>
      <c r="D68" s="112">
        <v>235</v>
      </c>
      <c r="E68" s="111"/>
      <c r="F68" s="112"/>
      <c r="G68" s="2"/>
      <c r="H68" s="2"/>
      <c r="I68" s="21">
        <v>335</v>
      </c>
      <c r="J68" s="2"/>
      <c r="K68" s="21"/>
      <c r="L68" s="120"/>
      <c r="M68" s="120"/>
      <c r="N68" s="119">
        <v>335</v>
      </c>
      <c r="O68" s="120"/>
      <c r="P68" s="119"/>
    </row>
    <row r="69" spans="1:16" ht="14.25" customHeight="1">
      <c r="A69" s="121" t="s">
        <v>398</v>
      </c>
      <c r="B69" s="111"/>
      <c r="C69" s="111"/>
      <c r="D69" s="112">
        <v>235</v>
      </c>
      <c r="E69" s="111"/>
      <c r="F69" s="112"/>
      <c r="G69" s="2"/>
      <c r="H69" s="2"/>
      <c r="I69" s="21">
        <v>335</v>
      </c>
      <c r="J69" s="2"/>
      <c r="K69" s="21"/>
      <c r="L69" s="120"/>
      <c r="M69" s="120"/>
      <c r="N69" s="119">
        <v>335</v>
      </c>
      <c r="O69" s="120"/>
      <c r="P69" s="119"/>
    </row>
    <row r="70" spans="1:16" ht="14.25" customHeight="1">
      <c r="A70" s="121" t="s">
        <v>399</v>
      </c>
      <c r="B70" s="111"/>
      <c r="C70" s="111"/>
      <c r="D70" s="112">
        <v>335</v>
      </c>
      <c r="E70" s="111"/>
      <c r="F70" s="112"/>
      <c r="G70" s="2"/>
      <c r="H70" s="2"/>
      <c r="I70" s="21">
        <v>335</v>
      </c>
      <c r="J70" s="2"/>
      <c r="K70" s="21"/>
      <c r="L70" s="120"/>
      <c r="M70" s="120"/>
      <c r="N70" s="119">
        <v>335</v>
      </c>
      <c r="O70" s="120"/>
      <c r="P70" s="119"/>
    </row>
    <row r="71" spans="1:16" ht="14.25" customHeight="1">
      <c r="A71" s="87" t="s">
        <v>400</v>
      </c>
      <c r="B71" s="111"/>
      <c r="C71" s="111"/>
      <c r="D71" s="112">
        <v>1000</v>
      </c>
      <c r="E71" s="111"/>
      <c r="F71" s="112"/>
      <c r="G71" s="2"/>
      <c r="H71" s="2"/>
      <c r="I71" s="21">
        <v>1000</v>
      </c>
      <c r="J71" s="2"/>
      <c r="K71" s="21"/>
      <c r="L71" s="120"/>
      <c r="M71" s="120"/>
      <c r="N71" s="119">
        <v>1000</v>
      </c>
      <c r="O71" s="120"/>
      <c r="P71" s="119"/>
    </row>
    <row r="72" spans="1:16" ht="14.25" customHeight="1">
      <c r="A72" s="87" t="s">
        <v>401</v>
      </c>
      <c r="B72" s="111"/>
      <c r="C72" s="111"/>
      <c r="D72" s="112">
        <v>2120</v>
      </c>
      <c r="E72" s="111"/>
      <c r="F72" s="112"/>
      <c r="G72" s="2"/>
      <c r="H72" s="2"/>
      <c r="I72" s="21">
        <v>2120</v>
      </c>
      <c r="J72" s="2"/>
      <c r="K72" s="21"/>
      <c r="L72" s="120"/>
      <c r="M72" s="120"/>
      <c r="N72" s="119">
        <v>2120</v>
      </c>
      <c r="O72" s="120"/>
      <c r="P72" s="119"/>
    </row>
    <row r="73" spans="1:16" ht="14.25" customHeight="1">
      <c r="A73" s="87" t="s">
        <v>402</v>
      </c>
      <c r="B73" s="111"/>
      <c r="C73" s="111"/>
      <c r="D73" s="112">
        <v>980</v>
      </c>
      <c r="E73" s="111"/>
      <c r="F73" s="112"/>
      <c r="G73" s="2"/>
      <c r="H73" s="2"/>
      <c r="I73" s="21">
        <v>980</v>
      </c>
      <c r="J73" s="2"/>
      <c r="K73" s="21"/>
      <c r="L73" s="120"/>
      <c r="M73" s="120"/>
      <c r="N73" s="119">
        <v>980</v>
      </c>
      <c r="O73" s="120"/>
      <c r="P73" s="119"/>
    </row>
    <row r="74" spans="1:16" ht="14.25" customHeight="1">
      <c r="A74" s="87" t="s">
        <v>403</v>
      </c>
      <c r="B74" s="111"/>
      <c r="C74" s="111"/>
      <c r="D74" s="112">
        <v>410</v>
      </c>
      <c r="E74" s="111"/>
      <c r="F74" s="112"/>
      <c r="G74" s="2"/>
      <c r="H74" s="2"/>
      <c r="I74" s="21">
        <v>410</v>
      </c>
      <c r="J74" s="2"/>
      <c r="K74" s="21"/>
      <c r="L74" s="120"/>
      <c r="M74" s="120"/>
      <c r="N74" s="119">
        <v>410</v>
      </c>
      <c r="O74" s="120"/>
      <c r="P74" s="119"/>
    </row>
    <row r="75" spans="1:16" ht="14.25" customHeight="1">
      <c r="A75" s="87" t="s">
        <v>404</v>
      </c>
      <c r="B75" s="111"/>
      <c r="C75" s="111"/>
      <c r="D75" s="112">
        <v>200</v>
      </c>
      <c r="E75" s="111"/>
      <c r="F75" s="112"/>
      <c r="G75" s="2"/>
      <c r="H75" s="2"/>
      <c r="I75" s="21">
        <v>200</v>
      </c>
      <c r="J75" s="2"/>
      <c r="K75" s="21"/>
      <c r="L75" s="120"/>
      <c r="M75" s="120"/>
      <c r="N75" s="119">
        <v>200</v>
      </c>
      <c r="O75" s="120"/>
      <c r="P75" s="119"/>
    </row>
    <row r="76" spans="1:16" ht="14.25" customHeight="1">
      <c r="A76" s="87" t="s">
        <v>22</v>
      </c>
      <c r="B76" s="111"/>
      <c r="C76" s="111"/>
      <c r="D76" s="112">
        <v>439.7</v>
      </c>
      <c r="E76" s="111"/>
      <c r="F76" s="112"/>
      <c r="G76" s="2"/>
      <c r="H76" s="2"/>
      <c r="I76" s="21">
        <v>439.7</v>
      </c>
      <c r="J76" s="2"/>
      <c r="K76" s="21"/>
      <c r="L76" s="120"/>
      <c r="M76" s="120"/>
      <c r="N76" s="119">
        <v>439.7</v>
      </c>
      <c r="O76" s="120"/>
      <c r="P76" s="119"/>
    </row>
    <row r="77" spans="1:16" ht="14.25" customHeight="1">
      <c r="A77" s="87" t="s">
        <v>405</v>
      </c>
      <c r="B77" s="111"/>
      <c r="C77" s="111"/>
      <c r="D77" s="112">
        <v>160</v>
      </c>
      <c r="E77" s="111"/>
      <c r="F77" s="112"/>
      <c r="G77" s="2"/>
      <c r="H77" s="2"/>
      <c r="I77" s="21">
        <v>160</v>
      </c>
      <c r="J77" s="2"/>
      <c r="K77" s="21"/>
      <c r="L77" s="120"/>
      <c r="M77" s="120"/>
      <c r="N77" s="119">
        <v>160</v>
      </c>
      <c r="O77" s="120"/>
      <c r="P77" s="119"/>
    </row>
    <row r="78" spans="1:16" ht="14.25" customHeight="1">
      <c r="A78" s="87" t="s">
        <v>406</v>
      </c>
      <c r="B78" s="111"/>
      <c r="C78" s="111"/>
      <c r="D78" s="112">
        <v>37.909999999999997</v>
      </c>
      <c r="E78" s="111"/>
      <c r="F78" s="112"/>
      <c r="G78" s="2"/>
      <c r="H78" s="2"/>
      <c r="I78" s="21">
        <v>37.909999999999997</v>
      </c>
      <c r="J78" s="2"/>
      <c r="K78" s="21"/>
      <c r="L78" s="120"/>
      <c r="M78" s="120"/>
      <c r="N78" s="119">
        <v>37.909999999999997</v>
      </c>
      <c r="O78" s="120"/>
      <c r="P78" s="119"/>
    </row>
    <row r="79" spans="1:16" ht="14.25" customHeight="1">
      <c r="A79" s="87" t="s">
        <v>407</v>
      </c>
      <c r="B79" s="111"/>
      <c r="C79" s="111"/>
      <c r="D79" s="112">
        <v>72.39</v>
      </c>
      <c r="E79" s="111"/>
      <c r="F79" s="112"/>
      <c r="G79" s="2"/>
      <c r="H79" s="2"/>
      <c r="I79" s="21">
        <v>72.39</v>
      </c>
      <c r="J79" s="2"/>
      <c r="K79" s="21"/>
      <c r="L79" s="120"/>
      <c r="M79" s="120"/>
      <c r="N79" s="119">
        <v>72.39</v>
      </c>
      <c r="O79" s="120"/>
      <c r="P79" s="119"/>
    </row>
    <row r="80" spans="1:16" ht="14.25" customHeight="1">
      <c r="A80" s="87" t="s">
        <v>408</v>
      </c>
      <c r="B80" s="111"/>
      <c r="C80" s="111"/>
      <c r="D80" s="112">
        <v>100</v>
      </c>
      <c r="E80" s="111"/>
      <c r="F80" s="112"/>
      <c r="G80" s="2"/>
      <c r="H80" s="2"/>
      <c r="I80" s="21">
        <v>100</v>
      </c>
      <c r="J80" s="2"/>
      <c r="K80" s="21"/>
      <c r="L80" s="120"/>
      <c r="M80" s="120"/>
      <c r="N80" s="119">
        <v>100</v>
      </c>
      <c r="O80" s="120"/>
      <c r="P80" s="119"/>
    </row>
    <row r="81" spans="1:16" ht="14.25" customHeight="1">
      <c r="A81" s="87" t="s">
        <v>409</v>
      </c>
      <c r="B81" s="111"/>
      <c r="C81" s="111"/>
      <c r="D81" s="112">
        <v>110</v>
      </c>
      <c r="E81" s="111"/>
      <c r="F81" s="112"/>
      <c r="G81" s="2"/>
      <c r="H81" s="2"/>
      <c r="I81" s="21">
        <v>110</v>
      </c>
      <c r="J81" s="2"/>
      <c r="K81" s="21"/>
      <c r="L81" s="120"/>
      <c r="M81" s="120"/>
      <c r="N81" s="119">
        <v>110</v>
      </c>
      <c r="O81" s="120"/>
      <c r="P81" s="119"/>
    </row>
    <row r="82" spans="1:16" ht="14.25" customHeight="1">
      <c r="A82" s="87" t="s">
        <v>410</v>
      </c>
      <c r="B82" s="111"/>
      <c r="C82" s="111"/>
      <c r="D82" s="112">
        <v>2000</v>
      </c>
      <c r="E82" s="111"/>
      <c r="F82" s="112"/>
      <c r="G82" s="2"/>
      <c r="H82" s="2"/>
      <c r="I82" s="21">
        <v>2000</v>
      </c>
      <c r="J82" s="2"/>
      <c r="K82" s="21"/>
      <c r="L82" s="120"/>
      <c r="M82" s="120"/>
      <c r="N82" s="119">
        <v>2000</v>
      </c>
      <c r="O82" s="120"/>
      <c r="P82" s="119"/>
    </row>
    <row r="83" spans="1:16" ht="14.25" customHeight="1">
      <c r="A83" s="87" t="s">
        <v>411</v>
      </c>
      <c r="B83" s="111"/>
      <c r="C83" s="111"/>
      <c r="D83" s="112">
        <v>488</v>
      </c>
      <c r="E83" s="111"/>
      <c r="F83" s="112"/>
      <c r="G83" s="2"/>
      <c r="H83" s="2"/>
      <c r="I83" s="21"/>
      <c r="J83" s="2"/>
      <c r="K83" s="21"/>
      <c r="L83" s="120"/>
      <c r="M83" s="120"/>
      <c r="N83" s="119"/>
      <c r="O83" s="120"/>
      <c r="P83" s="119"/>
    </row>
    <row r="84" spans="1:16" ht="14.25" customHeight="1">
      <c r="A84" s="87" t="s">
        <v>412</v>
      </c>
      <c r="B84" s="111"/>
      <c r="C84" s="111"/>
      <c r="D84" s="112"/>
      <c r="E84" s="111"/>
      <c r="F84" s="112"/>
      <c r="G84" s="2"/>
      <c r="H84" s="2"/>
      <c r="I84" s="21">
        <v>1280</v>
      </c>
      <c r="J84" s="2"/>
      <c r="K84" s="21"/>
      <c r="L84" s="120"/>
      <c r="M84" s="120"/>
      <c r="N84" s="119">
        <v>1280</v>
      </c>
      <c r="O84" s="120"/>
      <c r="P84" s="119"/>
    </row>
    <row r="85" spans="1:16" ht="14.25" customHeight="1">
      <c r="A85" s="87" t="s">
        <v>413</v>
      </c>
      <c r="B85" s="111"/>
      <c r="C85" s="111"/>
      <c r="D85" s="112">
        <v>200</v>
      </c>
      <c r="E85" s="111"/>
      <c r="F85" s="112"/>
      <c r="G85" s="2"/>
      <c r="H85" s="2"/>
      <c r="I85" s="21">
        <v>200</v>
      </c>
      <c r="J85" s="2"/>
      <c r="K85" s="21"/>
      <c r="L85" s="120"/>
      <c r="M85" s="120"/>
      <c r="N85" s="119">
        <v>200</v>
      </c>
      <c r="O85" s="120"/>
      <c r="P85" s="119"/>
    </row>
    <row r="86" spans="1:16" ht="14.25" customHeight="1">
      <c r="A86" s="87" t="s">
        <v>414</v>
      </c>
      <c r="B86" s="111"/>
      <c r="C86" s="111"/>
      <c r="D86" s="112">
        <v>265</v>
      </c>
      <c r="E86" s="111"/>
      <c r="F86" s="112"/>
      <c r="G86" s="2"/>
      <c r="H86" s="2"/>
      <c r="I86" s="21"/>
      <c r="J86" s="2"/>
      <c r="K86" s="21"/>
      <c r="L86" s="120"/>
      <c r="M86" s="120"/>
      <c r="N86" s="119"/>
      <c r="O86" s="120"/>
      <c r="P86" s="119"/>
    </row>
    <row r="87" spans="1:16" ht="14.25" customHeight="1">
      <c r="A87" s="87" t="s">
        <v>415</v>
      </c>
      <c r="B87" s="111"/>
      <c r="C87" s="111"/>
      <c r="D87" s="111"/>
      <c r="E87" s="112">
        <v>571</v>
      </c>
      <c r="F87" s="112"/>
      <c r="G87" s="2"/>
      <c r="H87" s="2"/>
      <c r="I87" s="2"/>
      <c r="J87" s="21">
        <v>571</v>
      </c>
      <c r="K87" s="21"/>
      <c r="L87" s="120"/>
      <c r="M87" s="120"/>
      <c r="N87" s="120"/>
      <c r="O87" s="119">
        <v>571</v>
      </c>
      <c r="P87" s="119"/>
    </row>
    <row r="88" spans="1:16" ht="14.25" customHeight="1">
      <c r="A88" s="87" t="s">
        <v>308</v>
      </c>
      <c r="B88" s="111"/>
      <c r="C88" s="111"/>
      <c r="D88" s="111"/>
      <c r="E88" s="112">
        <v>150</v>
      </c>
      <c r="F88" s="112"/>
      <c r="G88" s="2"/>
      <c r="H88" s="2"/>
      <c r="I88" s="2"/>
      <c r="J88" s="21">
        <v>150</v>
      </c>
      <c r="K88" s="21"/>
      <c r="L88" s="120"/>
      <c r="M88" s="120"/>
      <c r="N88" s="120"/>
      <c r="O88" s="119">
        <v>150</v>
      </c>
      <c r="P88" s="119"/>
    </row>
    <row r="89" spans="1:16" ht="14.25" customHeight="1">
      <c r="A89" s="87" t="s">
        <v>311</v>
      </c>
      <c r="B89" s="111"/>
      <c r="C89" s="111"/>
      <c r="D89" s="111"/>
      <c r="E89" s="112">
        <v>150</v>
      </c>
      <c r="F89" s="112"/>
      <c r="G89" s="2"/>
      <c r="H89" s="2"/>
      <c r="I89" s="2"/>
      <c r="J89" s="21">
        <v>150</v>
      </c>
      <c r="K89" s="21"/>
      <c r="L89" s="120"/>
      <c r="M89" s="120"/>
      <c r="N89" s="120"/>
      <c r="O89" s="119">
        <v>150</v>
      </c>
      <c r="P89" s="119"/>
    </row>
    <row r="90" spans="1:16" ht="14.25" customHeight="1">
      <c r="A90" s="87" t="s">
        <v>416</v>
      </c>
      <c r="B90" s="111"/>
      <c r="C90" s="111"/>
      <c r="D90" s="111"/>
      <c r="E90" s="112">
        <v>152</v>
      </c>
      <c r="F90" s="112"/>
      <c r="G90" s="2"/>
      <c r="H90" s="2"/>
      <c r="I90" s="2"/>
      <c r="J90" s="21">
        <v>152</v>
      </c>
      <c r="K90" s="21"/>
      <c r="L90" s="120"/>
      <c r="M90" s="120"/>
      <c r="N90" s="120"/>
      <c r="O90" s="119">
        <v>152</v>
      </c>
      <c r="P90" s="119"/>
    </row>
    <row r="91" spans="1:16" ht="14.25" customHeight="1">
      <c r="A91" s="87" t="s">
        <v>417</v>
      </c>
      <c r="B91" s="111"/>
      <c r="C91" s="111"/>
      <c r="D91" s="111"/>
      <c r="E91" s="112">
        <v>1000</v>
      </c>
      <c r="F91" s="112"/>
      <c r="G91" s="2"/>
      <c r="H91" s="2"/>
      <c r="I91" s="2"/>
      <c r="J91" s="21">
        <v>1000</v>
      </c>
      <c r="K91" s="21"/>
      <c r="L91" s="120"/>
      <c r="M91" s="120"/>
      <c r="N91" s="120"/>
      <c r="O91" s="119">
        <v>1000</v>
      </c>
      <c r="P91" s="119"/>
    </row>
    <row r="92" spans="1:16" ht="14.25" customHeight="1">
      <c r="A92" s="87" t="s">
        <v>418</v>
      </c>
      <c r="B92" s="111"/>
      <c r="C92" s="111"/>
      <c r="D92" s="111"/>
      <c r="E92" s="112">
        <v>2000</v>
      </c>
      <c r="F92" s="112"/>
      <c r="G92" s="2"/>
      <c r="H92" s="2"/>
      <c r="I92" s="2"/>
      <c r="J92" s="21">
        <v>1300</v>
      </c>
      <c r="K92" s="21"/>
      <c r="L92" s="120"/>
      <c r="M92" s="120"/>
      <c r="N92" s="120"/>
      <c r="O92" s="119">
        <v>2000</v>
      </c>
      <c r="P92" s="119"/>
    </row>
    <row r="93" spans="1:16" ht="14.25" customHeight="1">
      <c r="A93" s="87" t="s">
        <v>419</v>
      </c>
      <c r="B93" s="111"/>
      <c r="C93" s="111"/>
      <c r="D93" s="111"/>
      <c r="E93" s="112">
        <v>504</v>
      </c>
      <c r="F93" s="112"/>
      <c r="G93" s="2"/>
      <c r="H93" s="2"/>
      <c r="I93" s="2"/>
      <c r="J93" s="21">
        <v>504</v>
      </c>
      <c r="K93" s="21"/>
      <c r="L93" s="120"/>
      <c r="M93" s="120"/>
      <c r="N93" s="120"/>
      <c r="O93" s="119">
        <v>504</v>
      </c>
      <c r="P93" s="119"/>
    </row>
    <row r="94" spans="1:16" ht="14.25" customHeight="1">
      <c r="A94" s="87" t="s">
        <v>420</v>
      </c>
      <c r="B94" s="111"/>
      <c r="C94" s="111"/>
      <c r="D94" s="111"/>
      <c r="E94" s="112">
        <v>420</v>
      </c>
      <c r="F94" s="112"/>
      <c r="G94" s="2"/>
      <c r="H94" s="2"/>
      <c r="I94" s="2"/>
      <c r="J94" s="21">
        <v>420</v>
      </c>
      <c r="K94" s="21"/>
      <c r="L94" s="120"/>
      <c r="M94" s="120"/>
      <c r="N94" s="120"/>
      <c r="O94" s="119">
        <v>420</v>
      </c>
      <c r="P94" s="119"/>
    </row>
    <row r="95" spans="1:16" ht="14.25" customHeight="1">
      <c r="B95" s="112">
        <f t="shared" ref="B95:E95" si="0">SUM(B5:B94)</f>
        <v>22865</v>
      </c>
      <c r="C95" s="112">
        <f t="shared" si="0"/>
        <v>10982.31</v>
      </c>
      <c r="D95" s="112">
        <f t="shared" si="0"/>
        <v>9923</v>
      </c>
      <c r="E95" s="112">
        <f t="shared" si="0"/>
        <v>4947</v>
      </c>
      <c r="F95" s="112">
        <f>B95-C95-D95-E95</f>
        <v>-2987.3099999999995</v>
      </c>
      <c r="G95" s="21">
        <f t="shared" ref="G95:J95" si="1">SUM(G5:G94)</f>
        <v>22865</v>
      </c>
      <c r="H95" s="21">
        <f t="shared" si="1"/>
        <v>10624.31</v>
      </c>
      <c r="I95" s="21">
        <f t="shared" si="1"/>
        <v>10750</v>
      </c>
      <c r="J95" s="21">
        <f t="shared" si="1"/>
        <v>4247</v>
      </c>
      <c r="K95" s="21">
        <f>G95-H95-I95-J95</f>
        <v>-2756.3099999999995</v>
      </c>
      <c r="L95" s="119">
        <f t="shared" ref="L95:O95" si="2">SUM(L5:L94)</f>
        <v>23265</v>
      </c>
      <c r="M95" s="119">
        <f t="shared" si="2"/>
        <v>10124.31</v>
      </c>
      <c r="N95" s="119">
        <f t="shared" si="2"/>
        <v>10750</v>
      </c>
      <c r="O95" s="119">
        <f t="shared" si="2"/>
        <v>4947</v>
      </c>
      <c r="P95" s="119">
        <f>L95-M95-N95-O95</f>
        <v>-2556.3099999999995</v>
      </c>
    </row>
    <row r="96" spans="1:1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F3"/>
    <mergeCell ref="G3:K3"/>
    <mergeCell ref="L3:P3"/>
  </mergeCells>
  <pageMargins left="0.511811024" right="0.511811024" top="0.78740157499999996" bottom="0.78740157499999996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21"/>
  <sheetViews>
    <sheetView workbookViewId="0">
      <selection activeCell="F172" sqref="F172"/>
    </sheetView>
  </sheetViews>
  <sheetFormatPr defaultColWidth="14.44140625" defaultRowHeight="15" customHeight="1"/>
  <cols>
    <col min="1" max="1" width="28.6640625" customWidth="1"/>
    <col min="2" max="2" width="13.5546875" customWidth="1"/>
    <col min="3" max="3" width="12.88671875" customWidth="1"/>
    <col min="4" max="4" width="21.6640625" customWidth="1"/>
    <col min="5" max="5" width="22.33203125" customWidth="1"/>
    <col min="6" max="9" width="8.6640625" customWidth="1"/>
  </cols>
  <sheetData>
    <row r="1" spans="1:5" ht="14.25" customHeight="1"/>
    <row r="2" spans="1:5" ht="14.25" customHeight="1">
      <c r="B2" s="15">
        <v>2025</v>
      </c>
    </row>
    <row r="3" spans="1:5" ht="14.25" customHeight="1"/>
    <row r="4" spans="1:5" ht="14.25" customHeight="1">
      <c r="A4" s="3" t="s">
        <v>421</v>
      </c>
      <c r="B4" s="3" t="s">
        <v>39</v>
      </c>
      <c r="C4" s="122" t="s">
        <v>422</v>
      </c>
      <c r="D4" s="3" t="s">
        <v>423</v>
      </c>
      <c r="E4" s="123"/>
    </row>
    <row r="5" spans="1:5" ht="14.25" customHeight="1">
      <c r="A5" s="5" t="s">
        <v>424</v>
      </c>
      <c r="B5" s="6"/>
      <c r="C5" s="124"/>
      <c r="D5" s="100"/>
      <c r="E5" s="125">
        <v>250</v>
      </c>
    </row>
    <row r="6" spans="1:5" ht="14.25" customHeight="1">
      <c r="A6" s="5" t="s">
        <v>425</v>
      </c>
      <c r="B6" s="6" t="s">
        <v>426</v>
      </c>
      <c r="C6" s="124" t="s">
        <v>426</v>
      </c>
      <c r="D6" s="3" t="s">
        <v>427</v>
      </c>
      <c r="E6" s="123"/>
    </row>
    <row r="7" spans="1:5" ht="14.25" customHeight="1">
      <c r="A7" s="5" t="s">
        <v>428</v>
      </c>
      <c r="B7" s="6">
        <v>300</v>
      </c>
      <c r="C7" s="124">
        <v>300</v>
      </c>
      <c r="D7" s="126" t="s">
        <v>427</v>
      </c>
      <c r="E7" s="125">
        <v>300</v>
      </c>
    </row>
    <row r="8" spans="1:5" ht="14.25" customHeight="1">
      <c r="A8" s="5" t="s">
        <v>429</v>
      </c>
      <c r="B8" s="6" t="s">
        <v>426</v>
      </c>
      <c r="C8" s="124" t="s">
        <v>426</v>
      </c>
      <c r="D8" s="3" t="s">
        <v>427</v>
      </c>
      <c r="E8" s="123"/>
    </row>
    <row r="9" spans="1:5" ht="14.25" customHeight="1">
      <c r="A9" s="5" t="s">
        <v>430</v>
      </c>
      <c r="B9" s="6">
        <v>400</v>
      </c>
      <c r="C9" s="124">
        <v>400</v>
      </c>
      <c r="D9" s="3" t="s">
        <v>427</v>
      </c>
      <c r="E9" s="123"/>
    </row>
    <row r="10" spans="1:5" ht="14.25" customHeight="1">
      <c r="A10" s="5" t="s">
        <v>431</v>
      </c>
      <c r="B10" s="6" t="s">
        <v>426</v>
      </c>
      <c r="C10" s="124" t="s">
        <v>426</v>
      </c>
      <c r="D10" s="3" t="s">
        <v>427</v>
      </c>
      <c r="E10" s="123"/>
    </row>
    <row r="11" spans="1:5" ht="14.25" customHeight="1">
      <c r="A11" s="5" t="s">
        <v>432</v>
      </c>
      <c r="B11" s="6" t="s">
        <v>426</v>
      </c>
      <c r="C11" s="124" t="s">
        <v>426</v>
      </c>
      <c r="D11" s="3" t="s">
        <v>427</v>
      </c>
      <c r="E11" s="123"/>
    </row>
    <row r="12" spans="1:5" ht="14.25" customHeight="1">
      <c r="A12" s="5" t="s">
        <v>433</v>
      </c>
      <c r="B12" s="6">
        <v>800</v>
      </c>
      <c r="C12" s="124">
        <v>800</v>
      </c>
      <c r="D12" s="3" t="s">
        <v>427</v>
      </c>
      <c r="E12" s="123"/>
    </row>
    <row r="13" spans="1:5" ht="14.25" customHeight="1">
      <c r="A13" s="5" t="s">
        <v>434</v>
      </c>
      <c r="B13" s="6" t="s">
        <v>426</v>
      </c>
      <c r="C13" s="124" t="s">
        <v>426</v>
      </c>
      <c r="D13" s="3" t="s">
        <v>427</v>
      </c>
      <c r="E13" s="123"/>
    </row>
    <row r="14" spans="1:5" ht="14.25" customHeight="1">
      <c r="A14" s="2" t="s">
        <v>435</v>
      </c>
      <c r="B14" s="10">
        <v>400</v>
      </c>
      <c r="C14" s="98">
        <v>400</v>
      </c>
      <c r="D14" s="127" t="s">
        <v>427</v>
      </c>
      <c r="E14" s="123">
        <v>700</v>
      </c>
    </row>
    <row r="15" spans="1:5" ht="14.25" customHeight="1">
      <c r="A15" s="2" t="s">
        <v>436</v>
      </c>
      <c r="B15" s="10">
        <v>300</v>
      </c>
      <c r="C15" s="98">
        <v>300</v>
      </c>
      <c r="D15" s="127" t="s">
        <v>427</v>
      </c>
      <c r="E15" s="123">
        <v>250</v>
      </c>
    </row>
    <row r="16" spans="1:5" ht="14.25" customHeight="1">
      <c r="A16" s="2" t="s">
        <v>437</v>
      </c>
      <c r="B16" s="10">
        <v>500</v>
      </c>
      <c r="C16" s="98">
        <v>500</v>
      </c>
      <c r="D16" s="127" t="s">
        <v>427</v>
      </c>
      <c r="E16" s="123">
        <v>600</v>
      </c>
    </row>
    <row r="17" spans="1:9" ht="14.25" customHeight="1">
      <c r="A17" s="2" t="s">
        <v>438</v>
      </c>
      <c r="B17" s="10">
        <v>300</v>
      </c>
      <c r="C17" s="98">
        <v>300</v>
      </c>
      <c r="D17" s="127" t="s">
        <v>427</v>
      </c>
      <c r="E17" s="123">
        <v>300</v>
      </c>
    </row>
    <row r="18" spans="1:9" ht="14.25" customHeight="1">
      <c r="A18" s="2" t="s">
        <v>439</v>
      </c>
      <c r="B18" s="6" t="s">
        <v>426</v>
      </c>
      <c r="C18" s="124" t="s">
        <v>426</v>
      </c>
      <c r="D18" s="127"/>
      <c r="E18" s="123"/>
      <c r="H18" s="100" t="s">
        <v>426</v>
      </c>
      <c r="I18" s="6" t="s">
        <v>426</v>
      </c>
    </row>
    <row r="19" spans="1:9" ht="14.25" customHeight="1">
      <c r="A19" s="2" t="s">
        <v>440</v>
      </c>
      <c r="B19" s="6"/>
      <c r="C19" s="124"/>
      <c r="D19" s="127"/>
      <c r="E19" s="123">
        <v>700</v>
      </c>
    </row>
    <row r="20" spans="1:9" ht="14.25" customHeight="1">
      <c r="A20" s="2" t="s">
        <v>441</v>
      </c>
      <c r="B20" s="6" t="s">
        <v>426</v>
      </c>
      <c r="C20" s="124" t="s">
        <v>426</v>
      </c>
      <c r="D20" s="127" t="s">
        <v>427</v>
      </c>
      <c r="E20" s="123"/>
    </row>
    <row r="21" spans="1:9" ht="14.25" customHeight="1">
      <c r="A21" s="2" t="s">
        <v>442</v>
      </c>
      <c r="B21" s="6" t="s">
        <v>426</v>
      </c>
      <c r="C21" s="124" t="s">
        <v>426</v>
      </c>
      <c r="D21" s="127" t="s">
        <v>427</v>
      </c>
      <c r="E21" s="123"/>
    </row>
    <row r="22" spans="1:9" ht="14.25" customHeight="1">
      <c r="A22" s="2" t="s">
        <v>443</v>
      </c>
      <c r="B22" s="10">
        <v>300</v>
      </c>
      <c r="C22" s="98">
        <v>300</v>
      </c>
      <c r="D22" s="127" t="s">
        <v>427</v>
      </c>
      <c r="E22" s="123">
        <v>300</v>
      </c>
    </row>
    <row r="23" spans="1:9" ht="14.25" customHeight="1">
      <c r="A23" s="2" t="s">
        <v>444</v>
      </c>
      <c r="B23" s="10">
        <v>100</v>
      </c>
      <c r="C23" s="98">
        <v>100</v>
      </c>
      <c r="D23" s="3" t="s">
        <v>427</v>
      </c>
      <c r="E23" s="123" t="s">
        <v>445</v>
      </c>
    </row>
    <row r="24" spans="1:9" ht="14.25" customHeight="1">
      <c r="A24" s="2" t="s">
        <v>446</v>
      </c>
      <c r="B24" s="6" t="s">
        <v>426</v>
      </c>
      <c r="C24" s="6" t="s">
        <v>426</v>
      </c>
      <c r="D24" s="6" t="s">
        <v>426</v>
      </c>
      <c r="E24" s="123">
        <v>300</v>
      </c>
    </row>
    <row r="25" spans="1:9" ht="14.25" customHeight="1">
      <c r="A25" s="2" t="s">
        <v>447</v>
      </c>
      <c r="B25" s="6" t="s">
        <v>426</v>
      </c>
      <c r="C25" s="124" t="s">
        <v>426</v>
      </c>
      <c r="D25" s="3" t="s">
        <v>427</v>
      </c>
      <c r="E25" s="123">
        <v>100</v>
      </c>
    </row>
    <row r="26" spans="1:9" ht="14.25" customHeight="1">
      <c r="A26" s="2" t="s">
        <v>448</v>
      </c>
      <c r="B26" s="10">
        <v>640</v>
      </c>
      <c r="C26" s="98">
        <v>640</v>
      </c>
      <c r="D26" s="3" t="s">
        <v>427</v>
      </c>
      <c r="E26" s="123">
        <v>750</v>
      </c>
    </row>
    <row r="27" spans="1:9" ht="14.25" customHeight="1">
      <c r="A27" s="2" t="s">
        <v>449</v>
      </c>
      <c r="B27" s="10">
        <v>150</v>
      </c>
      <c r="C27" s="98">
        <v>150</v>
      </c>
      <c r="D27" s="3" t="s">
        <v>427</v>
      </c>
      <c r="E27" s="123"/>
    </row>
    <row r="28" spans="1:9" ht="14.25" customHeight="1">
      <c r="A28" s="21" t="s">
        <v>450</v>
      </c>
      <c r="B28" s="10"/>
      <c r="C28" s="98"/>
      <c r="D28" s="127"/>
      <c r="E28" s="123">
        <v>600</v>
      </c>
    </row>
    <row r="29" spans="1:9" s="147" customFormat="1" ht="14.25" customHeight="1">
      <c r="A29" s="21" t="s">
        <v>643</v>
      </c>
      <c r="B29" s="10">
        <v>200</v>
      </c>
      <c r="C29" s="98">
        <v>200</v>
      </c>
      <c r="D29" s="127" t="s">
        <v>644</v>
      </c>
      <c r="E29" s="123"/>
    </row>
    <row r="30" spans="1:9" ht="14.25" customHeight="1">
      <c r="A30" s="21" t="s">
        <v>451</v>
      </c>
      <c r="B30" s="10">
        <v>250</v>
      </c>
      <c r="C30" s="98">
        <v>250</v>
      </c>
      <c r="D30" s="127" t="s">
        <v>427</v>
      </c>
      <c r="E30" s="123"/>
    </row>
    <row r="31" spans="1:9" ht="14.25" customHeight="1">
      <c r="A31" s="21" t="s">
        <v>452</v>
      </c>
      <c r="B31" s="10">
        <v>200</v>
      </c>
      <c r="C31" s="98">
        <v>200</v>
      </c>
      <c r="D31" s="127" t="s">
        <v>427</v>
      </c>
      <c r="E31" s="123">
        <v>200</v>
      </c>
    </row>
    <row r="32" spans="1:9" ht="14.25" customHeight="1">
      <c r="A32" s="21" t="s">
        <v>453</v>
      </c>
      <c r="B32" s="10">
        <v>250</v>
      </c>
      <c r="C32" s="98">
        <v>250</v>
      </c>
      <c r="D32" s="127" t="s">
        <v>427</v>
      </c>
      <c r="E32" s="123">
        <v>250</v>
      </c>
    </row>
    <row r="33" spans="1:7" ht="14.25" customHeight="1">
      <c r="A33" s="21" t="s">
        <v>454</v>
      </c>
      <c r="B33" s="6" t="s">
        <v>426</v>
      </c>
      <c r="C33" s="124" t="s">
        <v>426</v>
      </c>
      <c r="D33" s="127"/>
      <c r="E33" s="123"/>
    </row>
    <row r="34" spans="1:7" ht="14.25" customHeight="1">
      <c r="A34" s="21" t="s">
        <v>455</v>
      </c>
      <c r="B34" s="6" t="s">
        <v>426</v>
      </c>
      <c r="C34" s="124" t="s">
        <v>426</v>
      </c>
      <c r="D34" s="127" t="s">
        <v>427</v>
      </c>
      <c r="E34" s="123"/>
    </row>
    <row r="35" spans="1:7" ht="14.25" customHeight="1">
      <c r="A35" s="2" t="s">
        <v>456</v>
      </c>
      <c r="B35" s="10">
        <v>400</v>
      </c>
      <c r="C35" s="98">
        <v>400</v>
      </c>
      <c r="D35" s="127" t="s">
        <v>427</v>
      </c>
      <c r="E35" s="123">
        <v>500</v>
      </c>
    </row>
    <row r="36" spans="1:7" ht="14.25" customHeight="1">
      <c r="A36" s="2" t="s">
        <v>457</v>
      </c>
      <c r="B36" s="10">
        <v>150</v>
      </c>
      <c r="C36" s="98">
        <v>150</v>
      </c>
      <c r="D36" s="127" t="s">
        <v>427</v>
      </c>
      <c r="E36" s="123">
        <v>200</v>
      </c>
    </row>
    <row r="37" spans="1:7" ht="14.25" customHeight="1">
      <c r="A37" s="2" t="s">
        <v>458</v>
      </c>
      <c r="B37" s="6" t="s">
        <v>426</v>
      </c>
      <c r="C37" s="124" t="s">
        <v>426</v>
      </c>
      <c r="D37" s="127"/>
      <c r="E37" s="123">
        <v>150</v>
      </c>
    </row>
    <row r="38" spans="1:7" ht="14.25" customHeight="1">
      <c r="A38" s="21" t="s">
        <v>459</v>
      </c>
      <c r="B38" s="10">
        <v>180</v>
      </c>
      <c r="C38" s="98">
        <v>180</v>
      </c>
      <c r="D38" s="127" t="s">
        <v>427</v>
      </c>
      <c r="E38" s="123">
        <v>200</v>
      </c>
    </row>
    <row r="39" spans="1:7" ht="14.25" customHeight="1">
      <c r="A39" s="21" t="s">
        <v>460</v>
      </c>
      <c r="B39" s="10">
        <v>230</v>
      </c>
      <c r="C39" s="98">
        <v>230</v>
      </c>
      <c r="D39" s="127" t="s">
        <v>427</v>
      </c>
      <c r="E39" s="123">
        <v>250</v>
      </c>
    </row>
    <row r="40" spans="1:7" ht="14.25" customHeight="1">
      <c r="A40" s="21" t="s">
        <v>461</v>
      </c>
      <c r="B40" s="10">
        <v>250</v>
      </c>
      <c r="C40" s="98">
        <v>250</v>
      </c>
      <c r="D40" s="127" t="s">
        <v>427</v>
      </c>
      <c r="E40" s="123"/>
    </row>
    <row r="41" spans="1:7" ht="14.25" customHeight="1">
      <c r="A41" s="21" t="s">
        <v>462</v>
      </c>
      <c r="B41" s="10">
        <v>150</v>
      </c>
      <c r="C41" s="98">
        <v>150</v>
      </c>
      <c r="D41" s="127" t="s">
        <v>427</v>
      </c>
      <c r="E41" s="123"/>
    </row>
    <row r="42" spans="1:7" ht="14.25" customHeight="1">
      <c r="A42" s="21" t="s">
        <v>463</v>
      </c>
      <c r="B42" s="10">
        <v>400</v>
      </c>
      <c r="C42" s="98">
        <v>400</v>
      </c>
      <c r="D42" s="127" t="s">
        <v>427</v>
      </c>
      <c r="E42" s="123" t="s">
        <v>464</v>
      </c>
      <c r="F42" s="27">
        <v>200</v>
      </c>
      <c r="G42" s="15" t="s">
        <v>465</v>
      </c>
    </row>
    <row r="43" spans="1:7" ht="14.25" customHeight="1">
      <c r="A43" s="21" t="s">
        <v>466</v>
      </c>
      <c r="B43" s="6" t="s">
        <v>426</v>
      </c>
      <c r="C43" s="124" t="s">
        <v>426</v>
      </c>
      <c r="D43" s="127" t="s">
        <v>427</v>
      </c>
      <c r="E43" s="123"/>
    </row>
    <row r="44" spans="1:7" ht="14.25" customHeight="1">
      <c r="A44" s="2" t="s">
        <v>467</v>
      </c>
      <c r="B44" s="10">
        <v>280</v>
      </c>
      <c r="C44" s="98">
        <v>280</v>
      </c>
      <c r="D44" s="127" t="s">
        <v>427</v>
      </c>
      <c r="E44" s="123">
        <v>300</v>
      </c>
    </row>
    <row r="45" spans="1:7" ht="14.25" customHeight="1">
      <c r="A45" s="2" t="s">
        <v>468</v>
      </c>
      <c r="B45" s="10">
        <v>300</v>
      </c>
      <c r="C45" s="98"/>
      <c r="D45" s="127" t="s">
        <v>427</v>
      </c>
      <c r="E45" s="123">
        <v>300</v>
      </c>
    </row>
    <row r="46" spans="1:7" ht="14.25" customHeight="1">
      <c r="A46" s="2" t="s">
        <v>469</v>
      </c>
      <c r="B46" s="10">
        <v>220</v>
      </c>
      <c r="C46" s="98">
        <v>220</v>
      </c>
      <c r="D46" s="127" t="s">
        <v>427</v>
      </c>
      <c r="E46" s="123">
        <v>250</v>
      </c>
    </row>
    <row r="47" spans="1:7" ht="14.25" customHeight="1">
      <c r="A47" s="2" t="s">
        <v>470</v>
      </c>
      <c r="B47" s="10">
        <v>200</v>
      </c>
      <c r="C47" s="98">
        <v>200</v>
      </c>
      <c r="D47" s="127" t="s">
        <v>427</v>
      </c>
      <c r="E47" s="123">
        <v>250</v>
      </c>
    </row>
    <row r="48" spans="1:7" ht="14.25" customHeight="1">
      <c r="A48" s="2" t="s">
        <v>471</v>
      </c>
      <c r="B48" s="10">
        <v>250</v>
      </c>
      <c r="C48" s="98">
        <v>250</v>
      </c>
      <c r="D48" s="127" t="s">
        <v>427</v>
      </c>
      <c r="E48" s="123">
        <v>250</v>
      </c>
    </row>
    <row r="49" spans="1:6" ht="14.25" customHeight="1">
      <c r="A49" s="21" t="s">
        <v>472</v>
      </c>
      <c r="B49" s="10">
        <v>200</v>
      </c>
      <c r="C49" s="98">
        <v>200</v>
      </c>
      <c r="D49" s="3" t="s">
        <v>473</v>
      </c>
      <c r="E49" s="123">
        <v>150</v>
      </c>
    </row>
    <row r="50" spans="1:6" ht="14.25" customHeight="1">
      <c r="A50" s="21" t="s">
        <v>474</v>
      </c>
      <c r="B50" s="10">
        <v>230</v>
      </c>
      <c r="C50" s="98">
        <v>230</v>
      </c>
      <c r="D50" s="3" t="s">
        <v>427</v>
      </c>
      <c r="E50" s="128">
        <v>250</v>
      </c>
      <c r="F50" s="6"/>
    </row>
    <row r="51" spans="1:6" ht="14.25" customHeight="1">
      <c r="A51" s="2" t="s">
        <v>475</v>
      </c>
      <c r="B51" s="6">
        <v>200</v>
      </c>
      <c r="C51" s="124">
        <v>200</v>
      </c>
      <c r="D51" s="127" t="s">
        <v>427</v>
      </c>
      <c r="E51" s="123"/>
    </row>
    <row r="52" spans="1:6" ht="14.25" customHeight="1">
      <c r="A52" s="2" t="s">
        <v>476</v>
      </c>
      <c r="B52" s="6">
        <v>100</v>
      </c>
      <c r="C52" s="124">
        <v>100</v>
      </c>
      <c r="D52" s="127" t="s">
        <v>427</v>
      </c>
      <c r="E52" s="123">
        <v>100</v>
      </c>
    </row>
    <row r="53" spans="1:6" ht="14.25" customHeight="1">
      <c r="A53" s="2" t="s">
        <v>477</v>
      </c>
      <c r="B53" s="6" t="s">
        <v>426</v>
      </c>
      <c r="C53" s="124" t="s">
        <v>426</v>
      </c>
      <c r="D53" s="127"/>
      <c r="E53" s="123"/>
    </row>
    <row r="54" spans="1:6" ht="14.25" customHeight="1">
      <c r="A54" s="2" t="s">
        <v>478</v>
      </c>
      <c r="B54" s="6" t="s">
        <v>426</v>
      </c>
      <c r="C54" s="124" t="s">
        <v>426</v>
      </c>
      <c r="D54" s="127"/>
      <c r="E54" s="123"/>
    </row>
    <row r="55" spans="1:6" ht="14.25" customHeight="1">
      <c r="A55" s="2" t="s">
        <v>479</v>
      </c>
      <c r="B55" s="10">
        <v>1200</v>
      </c>
      <c r="C55" s="98">
        <v>1200</v>
      </c>
      <c r="D55" s="127" t="s">
        <v>480</v>
      </c>
      <c r="E55" s="129">
        <v>1200</v>
      </c>
    </row>
    <row r="56" spans="1:6" ht="14.25" customHeight="1">
      <c r="A56" s="2" t="s">
        <v>481</v>
      </c>
      <c r="B56" s="6" t="s">
        <v>426</v>
      </c>
      <c r="C56" s="124" t="s">
        <v>426</v>
      </c>
      <c r="D56" s="127" t="s">
        <v>481</v>
      </c>
      <c r="E56" s="129"/>
    </row>
    <row r="57" spans="1:6" ht="14.25" customHeight="1">
      <c r="A57" s="2" t="s">
        <v>482</v>
      </c>
      <c r="B57" s="10"/>
      <c r="C57" s="98"/>
      <c r="D57" s="127" t="s">
        <v>483</v>
      </c>
      <c r="E57" s="129">
        <v>200</v>
      </c>
    </row>
    <row r="58" spans="1:6" ht="14.25" customHeight="1">
      <c r="A58" s="21" t="s">
        <v>484</v>
      </c>
      <c r="B58" s="10"/>
      <c r="C58" s="98"/>
      <c r="D58" s="127" t="s">
        <v>485</v>
      </c>
      <c r="E58" s="129">
        <v>250</v>
      </c>
    </row>
    <row r="59" spans="1:6" ht="14.25" customHeight="1">
      <c r="A59" s="21" t="s">
        <v>486</v>
      </c>
      <c r="B59" s="6">
        <v>200</v>
      </c>
      <c r="C59" s="124">
        <v>200</v>
      </c>
      <c r="D59" s="127" t="s">
        <v>427</v>
      </c>
      <c r="E59" s="129">
        <v>300</v>
      </c>
    </row>
    <row r="60" spans="1:6" ht="14.25" customHeight="1">
      <c r="A60" s="21" t="s">
        <v>487</v>
      </c>
      <c r="B60" s="6" t="s">
        <v>426</v>
      </c>
      <c r="C60" s="124" t="s">
        <v>426</v>
      </c>
      <c r="D60" s="127" t="s">
        <v>427</v>
      </c>
      <c r="E60" s="129"/>
    </row>
    <row r="61" spans="1:6" ht="14.25" customHeight="1">
      <c r="A61" s="21" t="s">
        <v>488</v>
      </c>
      <c r="B61" s="6" t="s">
        <v>426</v>
      </c>
      <c r="C61" s="124" t="s">
        <v>426</v>
      </c>
      <c r="D61" s="127"/>
      <c r="E61" s="129"/>
    </row>
    <row r="62" spans="1:6" ht="14.25" customHeight="1">
      <c r="A62" s="21" t="s">
        <v>489</v>
      </c>
      <c r="B62" s="6" t="s">
        <v>426</v>
      </c>
      <c r="C62" s="124" t="s">
        <v>426</v>
      </c>
      <c r="D62" s="127" t="s">
        <v>427</v>
      </c>
      <c r="E62" s="129"/>
    </row>
    <row r="63" spans="1:6" ht="14.25" customHeight="1">
      <c r="A63" s="21" t="s">
        <v>490</v>
      </c>
      <c r="B63" s="10">
        <v>200</v>
      </c>
      <c r="C63" s="98">
        <v>200</v>
      </c>
      <c r="D63" s="127" t="s">
        <v>427</v>
      </c>
      <c r="E63" s="129">
        <v>200</v>
      </c>
    </row>
    <row r="64" spans="1:6" ht="14.25" customHeight="1">
      <c r="A64" s="21" t="s">
        <v>491</v>
      </c>
      <c r="B64" s="10"/>
      <c r="C64" s="98"/>
      <c r="D64" s="127" t="s">
        <v>427</v>
      </c>
      <c r="E64" s="129">
        <v>200</v>
      </c>
      <c r="F64" s="15" t="s">
        <v>492</v>
      </c>
    </row>
    <row r="65" spans="1:5" ht="14.25" customHeight="1">
      <c r="A65" s="21" t="s">
        <v>493</v>
      </c>
      <c r="B65" s="10">
        <v>220</v>
      </c>
      <c r="C65" s="98">
        <v>220</v>
      </c>
      <c r="D65" s="127" t="s">
        <v>427</v>
      </c>
      <c r="E65" s="129">
        <v>250</v>
      </c>
    </row>
    <row r="66" spans="1:5" ht="14.25" customHeight="1">
      <c r="A66" s="21" t="s">
        <v>494</v>
      </c>
      <c r="B66" s="10">
        <v>280</v>
      </c>
      <c r="C66" s="98">
        <v>280</v>
      </c>
      <c r="D66" s="127" t="s">
        <v>427</v>
      </c>
      <c r="E66" s="129"/>
    </row>
    <row r="67" spans="1:5" ht="14.25" customHeight="1">
      <c r="A67" s="21" t="s">
        <v>470</v>
      </c>
      <c r="B67" s="10">
        <v>200</v>
      </c>
      <c r="C67" s="98">
        <v>200</v>
      </c>
      <c r="D67" s="127" t="s">
        <v>427</v>
      </c>
      <c r="E67" s="129">
        <v>250</v>
      </c>
    </row>
    <row r="68" spans="1:5" ht="14.25" customHeight="1">
      <c r="A68" s="21" t="s">
        <v>495</v>
      </c>
      <c r="B68" s="10">
        <v>400</v>
      </c>
      <c r="C68" s="98">
        <v>400</v>
      </c>
      <c r="D68" s="127" t="s">
        <v>427</v>
      </c>
      <c r="E68" s="129">
        <v>500</v>
      </c>
    </row>
    <row r="69" spans="1:5" ht="14.25" customHeight="1">
      <c r="A69" s="21" t="s">
        <v>496</v>
      </c>
      <c r="B69" s="10">
        <v>200</v>
      </c>
      <c r="C69" s="98">
        <v>200</v>
      </c>
      <c r="D69" s="127" t="s">
        <v>427</v>
      </c>
      <c r="E69" s="129"/>
    </row>
    <row r="70" spans="1:5" ht="14.25" customHeight="1">
      <c r="A70" s="21" t="s">
        <v>497</v>
      </c>
      <c r="B70" s="10">
        <v>250</v>
      </c>
      <c r="C70" s="98">
        <v>250</v>
      </c>
      <c r="D70" s="127" t="s">
        <v>427</v>
      </c>
      <c r="E70" s="129">
        <v>300</v>
      </c>
    </row>
    <row r="71" spans="1:5" ht="14.25" customHeight="1">
      <c r="A71" s="2" t="s">
        <v>498</v>
      </c>
      <c r="B71" s="10">
        <v>400</v>
      </c>
      <c r="C71" s="130">
        <v>400</v>
      </c>
      <c r="D71" s="127" t="s">
        <v>427</v>
      </c>
      <c r="E71" s="129">
        <v>500</v>
      </c>
    </row>
    <row r="72" spans="1:5" ht="14.25" customHeight="1">
      <c r="A72" s="2" t="s">
        <v>499</v>
      </c>
      <c r="B72" s="98">
        <v>280</v>
      </c>
      <c r="C72" s="98">
        <v>280</v>
      </c>
      <c r="D72" s="127" t="s">
        <v>427</v>
      </c>
      <c r="E72" s="123">
        <v>300</v>
      </c>
    </row>
    <row r="73" spans="1:5" ht="14.25" customHeight="1">
      <c r="A73" s="2" t="s">
        <v>500</v>
      </c>
      <c r="B73" s="98"/>
      <c r="C73" s="98"/>
      <c r="D73" s="127"/>
      <c r="E73" s="123">
        <v>300</v>
      </c>
    </row>
    <row r="74" spans="1:5" ht="14.25" customHeight="1">
      <c r="A74" s="2" t="s">
        <v>501</v>
      </c>
      <c r="B74" s="6" t="s">
        <v>426</v>
      </c>
      <c r="C74" s="124" t="s">
        <v>426</v>
      </c>
      <c r="D74" s="127"/>
      <c r="E74" s="123"/>
    </row>
    <row r="75" spans="1:5" ht="14.25" customHeight="1">
      <c r="A75" s="2" t="s">
        <v>502</v>
      </c>
      <c r="B75" s="98">
        <v>150</v>
      </c>
      <c r="C75" s="98">
        <v>150</v>
      </c>
      <c r="D75" s="127" t="s">
        <v>427</v>
      </c>
      <c r="E75" s="123" t="s">
        <v>503</v>
      </c>
    </row>
    <row r="76" spans="1:5" ht="14.25" customHeight="1">
      <c r="A76" s="2" t="s">
        <v>504</v>
      </c>
      <c r="B76" s="98">
        <v>450</v>
      </c>
      <c r="C76" s="98">
        <v>450</v>
      </c>
      <c r="D76" s="127" t="s">
        <v>427</v>
      </c>
      <c r="E76" s="123">
        <v>500</v>
      </c>
    </row>
    <row r="77" spans="1:5" ht="14.25" customHeight="1">
      <c r="A77" s="2" t="s">
        <v>505</v>
      </c>
      <c r="B77" s="98">
        <v>150</v>
      </c>
      <c r="C77" s="98">
        <v>150</v>
      </c>
      <c r="D77" s="127" t="s">
        <v>427</v>
      </c>
      <c r="E77" s="123">
        <v>120</v>
      </c>
    </row>
    <row r="78" spans="1:5" ht="14.25" customHeight="1">
      <c r="A78" s="2" t="s">
        <v>506</v>
      </c>
      <c r="B78" s="98"/>
      <c r="C78" s="98"/>
      <c r="D78" s="127" t="s">
        <v>427</v>
      </c>
      <c r="E78" s="123">
        <v>120</v>
      </c>
    </row>
    <row r="79" spans="1:5" ht="14.25" customHeight="1">
      <c r="A79" s="21" t="s">
        <v>507</v>
      </c>
      <c r="B79" s="98">
        <v>880</v>
      </c>
      <c r="C79" s="98">
        <v>880</v>
      </c>
      <c r="D79" s="127" t="s">
        <v>427</v>
      </c>
      <c r="E79" s="123">
        <v>200</v>
      </c>
    </row>
    <row r="80" spans="1:5" ht="14.25" customHeight="1">
      <c r="A80" s="2" t="s">
        <v>508</v>
      </c>
      <c r="B80" s="98"/>
      <c r="C80" s="98"/>
      <c r="D80" s="3" t="s">
        <v>426</v>
      </c>
      <c r="E80" s="131">
        <v>500</v>
      </c>
    </row>
    <row r="81" spans="1:5" ht="14.25" customHeight="1">
      <c r="A81" s="2" t="s">
        <v>509</v>
      </c>
      <c r="B81" s="98"/>
      <c r="C81" s="98"/>
      <c r="D81" s="3"/>
      <c r="E81" s="125">
        <v>400</v>
      </c>
    </row>
    <row r="82" spans="1:5" ht="14.25" customHeight="1">
      <c r="A82" s="2" t="s">
        <v>510</v>
      </c>
      <c r="B82" s="98">
        <v>200</v>
      </c>
      <c r="C82" s="98">
        <v>200</v>
      </c>
      <c r="D82" s="127" t="s">
        <v>427</v>
      </c>
      <c r="E82" s="123">
        <v>200</v>
      </c>
    </row>
    <row r="83" spans="1:5" ht="14.25" customHeight="1">
      <c r="A83" s="2" t="s">
        <v>511</v>
      </c>
      <c r="B83" s="98">
        <v>150</v>
      </c>
      <c r="C83" s="98">
        <v>150</v>
      </c>
      <c r="D83" s="127"/>
      <c r="E83" s="123">
        <v>100</v>
      </c>
    </row>
    <row r="84" spans="1:5" ht="14.25" customHeight="1">
      <c r="A84" s="2" t="s">
        <v>512</v>
      </c>
      <c r="B84" s="10">
        <v>250</v>
      </c>
      <c r="C84" s="132">
        <v>250</v>
      </c>
      <c r="D84" s="127" t="s">
        <v>427</v>
      </c>
      <c r="E84" s="123">
        <v>200</v>
      </c>
    </row>
    <row r="85" spans="1:5" ht="14.25" customHeight="1">
      <c r="A85" s="2" t="s">
        <v>513</v>
      </c>
      <c r="B85" s="10">
        <v>200</v>
      </c>
      <c r="C85" s="132">
        <v>200</v>
      </c>
      <c r="D85" s="127" t="s">
        <v>427</v>
      </c>
      <c r="E85" s="123"/>
    </row>
    <row r="86" spans="1:5" ht="14.25" customHeight="1">
      <c r="A86" s="2" t="s">
        <v>514</v>
      </c>
      <c r="B86" s="10">
        <v>280</v>
      </c>
      <c r="C86" s="132">
        <v>280</v>
      </c>
      <c r="D86" s="127" t="s">
        <v>427</v>
      </c>
      <c r="E86" s="123">
        <v>400</v>
      </c>
    </row>
    <row r="87" spans="1:5" ht="14.25" customHeight="1">
      <c r="A87" s="2" t="s">
        <v>515</v>
      </c>
      <c r="B87" s="10">
        <v>200</v>
      </c>
      <c r="C87" s="98">
        <v>200</v>
      </c>
      <c r="D87" s="127"/>
      <c r="E87" s="123">
        <v>250</v>
      </c>
    </row>
    <row r="88" spans="1:5" ht="14.25" customHeight="1">
      <c r="A88" s="2" t="s">
        <v>516</v>
      </c>
      <c r="B88" s="10"/>
      <c r="C88" s="98"/>
      <c r="D88" s="3"/>
      <c r="E88" s="123">
        <v>300</v>
      </c>
    </row>
    <row r="89" spans="1:5" ht="14.25" customHeight="1">
      <c r="A89" s="2" t="s">
        <v>517</v>
      </c>
      <c r="B89" s="10">
        <v>100</v>
      </c>
      <c r="C89" s="98">
        <v>100</v>
      </c>
      <c r="D89" s="3" t="s">
        <v>427</v>
      </c>
      <c r="E89" s="123">
        <v>100</v>
      </c>
    </row>
    <row r="90" spans="1:5" ht="14.25" customHeight="1">
      <c r="A90" s="2" t="s">
        <v>518</v>
      </c>
      <c r="B90" s="10">
        <v>200</v>
      </c>
      <c r="C90" s="98">
        <v>200</v>
      </c>
      <c r="D90" s="3" t="s">
        <v>427</v>
      </c>
      <c r="E90" s="123">
        <v>250</v>
      </c>
    </row>
    <row r="91" spans="1:5" ht="14.25" customHeight="1">
      <c r="A91" s="2" t="s">
        <v>519</v>
      </c>
      <c r="B91" s="6" t="s">
        <v>426</v>
      </c>
      <c r="C91" s="124" t="s">
        <v>426</v>
      </c>
      <c r="D91" s="3" t="s">
        <v>427</v>
      </c>
      <c r="E91" s="123"/>
    </row>
    <row r="92" spans="1:5" ht="14.25" customHeight="1">
      <c r="A92" s="2" t="s">
        <v>520</v>
      </c>
      <c r="B92" s="6" t="s">
        <v>426</v>
      </c>
      <c r="C92" s="124" t="s">
        <v>426</v>
      </c>
      <c r="D92" s="3"/>
      <c r="E92" s="123"/>
    </row>
    <row r="93" spans="1:5" ht="14.25" customHeight="1">
      <c r="A93" s="2" t="s">
        <v>521</v>
      </c>
      <c r="B93" s="6" t="s">
        <v>426</v>
      </c>
      <c r="C93" s="124" t="s">
        <v>426</v>
      </c>
      <c r="D93" s="3"/>
      <c r="E93" s="123"/>
    </row>
    <row r="94" spans="1:5" ht="14.25" customHeight="1">
      <c r="A94" s="21" t="s">
        <v>522</v>
      </c>
      <c r="B94" s="10">
        <v>200</v>
      </c>
      <c r="C94" s="98">
        <v>200</v>
      </c>
      <c r="D94" s="127" t="s">
        <v>427</v>
      </c>
      <c r="E94" s="123">
        <v>250</v>
      </c>
    </row>
    <row r="95" spans="1:5" ht="14.25" customHeight="1">
      <c r="A95" s="21" t="s">
        <v>523</v>
      </c>
      <c r="B95" s="6" t="s">
        <v>426</v>
      </c>
      <c r="C95" s="124" t="s">
        <v>426</v>
      </c>
      <c r="D95" s="127" t="s">
        <v>427</v>
      </c>
      <c r="E95" s="123"/>
    </row>
    <row r="96" spans="1:5" ht="14.25" customHeight="1">
      <c r="A96" s="21" t="s">
        <v>524</v>
      </c>
      <c r="B96" s="6">
        <v>300</v>
      </c>
      <c r="C96" s="124">
        <v>300</v>
      </c>
      <c r="D96" s="127" t="s">
        <v>427</v>
      </c>
      <c r="E96" s="123">
        <v>350</v>
      </c>
    </row>
    <row r="97" spans="1:5" ht="14.25" customHeight="1">
      <c r="A97" s="21" t="s">
        <v>525</v>
      </c>
      <c r="B97" s="10">
        <v>450</v>
      </c>
      <c r="C97" s="98">
        <v>450</v>
      </c>
      <c r="D97" s="127" t="s">
        <v>427</v>
      </c>
      <c r="E97" s="123">
        <v>500</v>
      </c>
    </row>
    <row r="98" spans="1:5" ht="14.25" customHeight="1">
      <c r="A98" s="21" t="s">
        <v>526</v>
      </c>
      <c r="B98" s="10">
        <v>400</v>
      </c>
      <c r="C98" s="98">
        <v>400</v>
      </c>
      <c r="D98" s="127" t="s">
        <v>427</v>
      </c>
      <c r="E98" s="123">
        <v>450</v>
      </c>
    </row>
    <row r="99" spans="1:5" ht="14.25" customHeight="1">
      <c r="A99" s="21" t="s">
        <v>527</v>
      </c>
      <c r="B99" s="10">
        <v>600</v>
      </c>
      <c r="C99" s="98"/>
      <c r="D99" s="127" t="s">
        <v>427</v>
      </c>
      <c r="E99" s="123"/>
    </row>
    <row r="100" spans="1:5" ht="14.25" customHeight="1">
      <c r="A100" s="21" t="s">
        <v>528</v>
      </c>
      <c r="B100" s="6" t="s">
        <v>426</v>
      </c>
      <c r="C100" s="124" t="s">
        <v>426</v>
      </c>
      <c r="D100" s="127"/>
      <c r="E100" s="123"/>
    </row>
    <row r="101" spans="1:5" ht="14.25" customHeight="1">
      <c r="A101" s="21" t="s">
        <v>529</v>
      </c>
      <c r="B101" s="6">
        <v>150</v>
      </c>
      <c r="C101" s="124"/>
      <c r="D101" s="127" t="s">
        <v>427</v>
      </c>
      <c r="E101" s="123"/>
    </row>
    <row r="102" spans="1:5" ht="14.25" customHeight="1">
      <c r="A102" s="21" t="s">
        <v>530</v>
      </c>
      <c r="B102" s="6">
        <v>250</v>
      </c>
      <c r="C102" s="124">
        <v>250</v>
      </c>
      <c r="D102" s="127" t="s">
        <v>427</v>
      </c>
      <c r="E102" s="123">
        <v>300</v>
      </c>
    </row>
    <row r="103" spans="1:5" ht="14.25" customHeight="1">
      <c r="A103" s="21" t="s">
        <v>531</v>
      </c>
      <c r="B103" s="6">
        <v>180</v>
      </c>
      <c r="C103" s="124">
        <v>180</v>
      </c>
      <c r="D103" s="127" t="s">
        <v>427</v>
      </c>
      <c r="E103" s="123">
        <v>180</v>
      </c>
    </row>
    <row r="104" spans="1:5" ht="14.25" customHeight="1">
      <c r="A104" s="21" t="s">
        <v>532</v>
      </c>
      <c r="B104" s="6" t="s">
        <v>426</v>
      </c>
      <c r="C104" s="124" t="s">
        <v>426</v>
      </c>
      <c r="D104" s="127" t="s">
        <v>427</v>
      </c>
      <c r="E104" s="123"/>
    </row>
    <row r="105" spans="1:5" ht="14.25" customHeight="1">
      <c r="A105" s="21" t="s">
        <v>533</v>
      </c>
      <c r="B105" s="6">
        <v>150</v>
      </c>
      <c r="C105" s="124"/>
      <c r="D105" s="127"/>
      <c r="E105" s="123">
        <v>200</v>
      </c>
    </row>
    <row r="106" spans="1:5" ht="14.25" customHeight="1">
      <c r="A106" s="21" t="s">
        <v>534</v>
      </c>
      <c r="B106" s="6"/>
      <c r="C106" s="124"/>
      <c r="D106" s="127"/>
      <c r="E106" s="123"/>
    </row>
    <row r="107" spans="1:5" ht="14.25" customHeight="1">
      <c r="A107" s="21" t="s">
        <v>535</v>
      </c>
      <c r="B107" s="6">
        <v>300</v>
      </c>
      <c r="C107" s="124">
        <v>300</v>
      </c>
      <c r="D107" s="127" t="s">
        <v>427</v>
      </c>
      <c r="E107" s="123"/>
    </row>
    <row r="108" spans="1:5" ht="14.25" customHeight="1">
      <c r="A108" s="21" t="s">
        <v>536</v>
      </c>
      <c r="B108" s="6">
        <v>200</v>
      </c>
      <c r="C108" s="124">
        <v>200</v>
      </c>
      <c r="D108" s="127" t="s">
        <v>427</v>
      </c>
      <c r="E108" s="123"/>
    </row>
    <row r="109" spans="1:5" ht="14.25" customHeight="1">
      <c r="A109" s="2" t="s">
        <v>537</v>
      </c>
      <c r="B109" s="10">
        <v>150</v>
      </c>
      <c r="C109" s="98"/>
      <c r="D109" s="127"/>
      <c r="E109" s="123">
        <v>200</v>
      </c>
    </row>
    <row r="110" spans="1:5" ht="14.25" customHeight="1">
      <c r="A110" s="2" t="s">
        <v>538</v>
      </c>
      <c r="B110" s="10"/>
      <c r="C110" s="98"/>
      <c r="D110" s="127"/>
      <c r="E110" s="123">
        <v>250</v>
      </c>
    </row>
    <row r="111" spans="1:5" ht="14.25" customHeight="1">
      <c r="A111" s="2" t="s">
        <v>539</v>
      </c>
      <c r="B111" s="10"/>
      <c r="C111" s="98"/>
      <c r="D111" s="127"/>
      <c r="E111" s="123"/>
    </row>
    <row r="112" spans="1:5" ht="14.25" customHeight="1">
      <c r="A112" s="2" t="s">
        <v>540</v>
      </c>
      <c r="B112" s="10">
        <v>280</v>
      </c>
      <c r="C112" s="98">
        <v>280</v>
      </c>
      <c r="D112" s="127" t="s">
        <v>427</v>
      </c>
      <c r="E112" s="123">
        <v>300</v>
      </c>
    </row>
    <row r="113" spans="1:7" ht="14.25" customHeight="1">
      <c r="A113" s="2" t="s">
        <v>541</v>
      </c>
      <c r="B113" s="10">
        <v>400</v>
      </c>
      <c r="C113" s="98">
        <v>400</v>
      </c>
      <c r="D113" s="127" t="s">
        <v>427</v>
      </c>
      <c r="E113" s="123">
        <v>450</v>
      </c>
    </row>
    <row r="114" spans="1:7" ht="14.25" customHeight="1">
      <c r="A114" s="2" t="s">
        <v>542</v>
      </c>
      <c r="B114" s="10">
        <v>150</v>
      </c>
      <c r="C114" s="98">
        <v>150</v>
      </c>
      <c r="D114" s="127" t="s">
        <v>427</v>
      </c>
      <c r="E114" s="123">
        <v>200</v>
      </c>
    </row>
    <row r="115" spans="1:7" ht="14.25" customHeight="1">
      <c r="A115" s="2" t="s">
        <v>543</v>
      </c>
      <c r="B115" s="10">
        <v>200</v>
      </c>
      <c r="C115" s="98"/>
      <c r="D115" s="127" t="s">
        <v>427</v>
      </c>
      <c r="E115" s="123">
        <v>250</v>
      </c>
    </row>
    <row r="116" spans="1:7" ht="14.25" customHeight="1">
      <c r="A116" s="21" t="s">
        <v>544</v>
      </c>
      <c r="B116" s="10">
        <v>150</v>
      </c>
      <c r="C116" s="98">
        <v>150</v>
      </c>
      <c r="D116" s="127" t="s">
        <v>427</v>
      </c>
      <c r="E116" s="123">
        <v>200</v>
      </c>
    </row>
    <row r="117" spans="1:7" ht="14.25" customHeight="1">
      <c r="A117" s="21" t="s">
        <v>545</v>
      </c>
      <c r="B117" s="6" t="s">
        <v>426</v>
      </c>
      <c r="C117" s="124" t="s">
        <v>426</v>
      </c>
      <c r="D117" s="127" t="s">
        <v>427</v>
      </c>
      <c r="E117" s="123"/>
    </row>
    <row r="118" spans="1:7" ht="14.25" customHeight="1">
      <c r="A118" s="21" t="s">
        <v>546</v>
      </c>
      <c r="B118" s="6" t="s">
        <v>426</v>
      </c>
      <c r="C118" s="124" t="s">
        <v>426</v>
      </c>
      <c r="D118" s="127"/>
      <c r="E118" s="123"/>
    </row>
    <row r="119" spans="1:7" ht="14.25" customHeight="1">
      <c r="A119" s="2" t="s">
        <v>547</v>
      </c>
      <c r="B119" s="10">
        <v>500</v>
      </c>
      <c r="C119" s="98">
        <v>500</v>
      </c>
      <c r="D119" s="127">
        <v>450</v>
      </c>
      <c r="E119" s="123">
        <v>500</v>
      </c>
    </row>
    <row r="120" spans="1:7" ht="14.25" customHeight="1">
      <c r="A120" s="2" t="s">
        <v>548</v>
      </c>
      <c r="B120" s="10">
        <v>230</v>
      </c>
      <c r="C120" s="98">
        <v>230</v>
      </c>
      <c r="D120" s="127" t="s">
        <v>427</v>
      </c>
      <c r="E120" s="123">
        <v>250</v>
      </c>
    </row>
    <row r="121" spans="1:7" ht="14.25" customHeight="1">
      <c r="A121" s="2" t="s">
        <v>549</v>
      </c>
      <c r="B121" s="10">
        <v>200</v>
      </c>
      <c r="C121" s="98">
        <v>200</v>
      </c>
      <c r="D121" s="3" t="s">
        <v>427</v>
      </c>
      <c r="E121" s="123">
        <v>250</v>
      </c>
    </row>
    <row r="122" spans="1:7" ht="14.25" customHeight="1">
      <c r="A122" s="2" t="s">
        <v>550</v>
      </c>
      <c r="B122" s="10">
        <v>300</v>
      </c>
      <c r="C122" s="98">
        <v>300</v>
      </c>
      <c r="D122" s="127" t="s">
        <v>427</v>
      </c>
      <c r="E122" s="123">
        <v>200</v>
      </c>
    </row>
    <row r="123" spans="1:7" ht="14.25" customHeight="1">
      <c r="A123" s="2" t="s">
        <v>551</v>
      </c>
      <c r="B123" s="10">
        <v>250</v>
      </c>
      <c r="C123" s="98">
        <v>250</v>
      </c>
      <c r="D123" s="127" t="s">
        <v>427</v>
      </c>
      <c r="E123" s="123">
        <v>100</v>
      </c>
      <c r="G123" s="9"/>
    </row>
    <row r="124" spans="1:7" ht="14.25" customHeight="1">
      <c r="A124" s="2" t="s">
        <v>552</v>
      </c>
      <c r="B124" s="6" t="s">
        <v>426</v>
      </c>
      <c r="C124" s="124" t="s">
        <v>426</v>
      </c>
      <c r="D124" s="127" t="s">
        <v>427</v>
      </c>
      <c r="E124" s="123">
        <v>200</v>
      </c>
    </row>
    <row r="125" spans="1:7" ht="14.25" customHeight="1">
      <c r="A125" s="2" t="s">
        <v>553</v>
      </c>
      <c r="B125" s="10"/>
      <c r="C125" s="98"/>
      <c r="D125" s="127" t="s">
        <v>427</v>
      </c>
      <c r="E125" s="123"/>
    </row>
    <row r="126" spans="1:7" ht="14.25" customHeight="1">
      <c r="A126" s="2" t="s">
        <v>554</v>
      </c>
      <c r="B126" s="10">
        <v>500</v>
      </c>
      <c r="C126" s="98">
        <v>500</v>
      </c>
      <c r="D126" s="127" t="s">
        <v>427</v>
      </c>
      <c r="E126" s="123"/>
    </row>
    <row r="127" spans="1:7" ht="14.25" customHeight="1">
      <c r="A127" s="2" t="s">
        <v>555</v>
      </c>
      <c r="B127" s="10"/>
      <c r="C127" s="98"/>
      <c r="D127" s="127"/>
      <c r="E127" s="123">
        <v>200</v>
      </c>
    </row>
    <row r="128" spans="1:7" ht="14.25" customHeight="1">
      <c r="A128" s="2" t="s">
        <v>556</v>
      </c>
      <c r="B128" s="10">
        <v>400</v>
      </c>
      <c r="C128" s="98">
        <v>400</v>
      </c>
      <c r="D128" s="127" t="s">
        <v>427</v>
      </c>
      <c r="E128" s="123">
        <v>500</v>
      </c>
    </row>
    <row r="129" spans="1:12" ht="14.25" customHeight="1">
      <c r="A129" s="2" t="s">
        <v>557</v>
      </c>
      <c r="B129" s="10">
        <v>500</v>
      </c>
      <c r="C129" s="98">
        <v>500</v>
      </c>
      <c r="D129" s="127" t="s">
        <v>427</v>
      </c>
      <c r="E129" s="123">
        <v>400</v>
      </c>
    </row>
    <row r="130" spans="1:12" ht="14.25" customHeight="1">
      <c r="A130" s="2" t="s">
        <v>558</v>
      </c>
      <c r="B130" s="10">
        <v>200</v>
      </c>
      <c r="C130" s="98">
        <v>200</v>
      </c>
      <c r="D130" s="127" t="s">
        <v>427</v>
      </c>
      <c r="E130" s="123">
        <v>250</v>
      </c>
    </row>
    <row r="131" spans="1:12" ht="14.25" customHeight="1">
      <c r="A131" s="2" t="s">
        <v>559</v>
      </c>
      <c r="B131" s="10">
        <v>350</v>
      </c>
      <c r="C131" s="98">
        <v>350</v>
      </c>
      <c r="D131" s="127" t="s">
        <v>427</v>
      </c>
      <c r="E131" s="123">
        <v>350</v>
      </c>
    </row>
    <row r="132" spans="1:12" ht="14.25" customHeight="1">
      <c r="A132" s="2" t="s">
        <v>560</v>
      </c>
      <c r="B132" s="10"/>
      <c r="C132" s="98"/>
      <c r="D132" s="127"/>
      <c r="E132" s="123">
        <v>350</v>
      </c>
    </row>
    <row r="133" spans="1:12" ht="14.25" customHeight="1">
      <c r="A133" s="2" t="s">
        <v>561</v>
      </c>
      <c r="B133" s="10">
        <v>150</v>
      </c>
      <c r="C133" s="98"/>
      <c r="D133" s="127" t="s">
        <v>427</v>
      </c>
      <c r="E133" s="123">
        <v>200</v>
      </c>
    </row>
    <row r="134" spans="1:12" ht="14.25" customHeight="1">
      <c r="A134" s="2" t="s">
        <v>562</v>
      </c>
      <c r="B134" s="6">
        <v>180</v>
      </c>
      <c r="C134" s="124">
        <v>180</v>
      </c>
      <c r="D134" s="127" t="s">
        <v>427</v>
      </c>
      <c r="E134" s="123">
        <v>200</v>
      </c>
    </row>
    <row r="135" spans="1:12" ht="14.25" customHeight="1">
      <c r="A135" s="2" t="s">
        <v>563</v>
      </c>
      <c r="B135" s="6">
        <v>300</v>
      </c>
      <c r="C135" s="124"/>
      <c r="D135" s="127" t="s">
        <v>427</v>
      </c>
      <c r="E135" s="123" t="s">
        <v>564</v>
      </c>
    </row>
    <row r="136" spans="1:12" ht="14.25" customHeight="1">
      <c r="A136" s="2" t="s">
        <v>565</v>
      </c>
      <c r="B136" s="6">
        <v>250</v>
      </c>
      <c r="C136" s="124">
        <v>250</v>
      </c>
      <c r="D136" s="127" t="s">
        <v>427</v>
      </c>
      <c r="E136" s="123"/>
    </row>
    <row r="137" spans="1:12" ht="14.25" customHeight="1">
      <c r="A137" s="2" t="s">
        <v>566</v>
      </c>
      <c r="B137" s="10">
        <v>220</v>
      </c>
      <c r="C137" s="98">
        <v>250</v>
      </c>
      <c r="D137" s="127" t="s">
        <v>427</v>
      </c>
      <c r="E137" s="123">
        <v>260</v>
      </c>
    </row>
    <row r="138" spans="1:12" ht="14.25" customHeight="1">
      <c r="A138" s="2" t="s">
        <v>567</v>
      </c>
      <c r="B138" s="10">
        <v>350</v>
      </c>
      <c r="C138" s="98">
        <v>350</v>
      </c>
      <c r="D138" s="127" t="s">
        <v>427</v>
      </c>
      <c r="E138" s="123">
        <v>350</v>
      </c>
    </row>
    <row r="139" spans="1:12" ht="14.25" customHeight="1">
      <c r="A139" s="2" t="s">
        <v>568</v>
      </c>
      <c r="B139" s="6" t="s">
        <v>426</v>
      </c>
      <c r="C139" s="124" t="s">
        <v>426</v>
      </c>
      <c r="D139" s="127"/>
      <c r="E139" s="123"/>
    </row>
    <row r="140" spans="1:12" ht="14.25" customHeight="1">
      <c r="A140" s="2" t="s">
        <v>569</v>
      </c>
      <c r="B140" s="6" t="s">
        <v>426</v>
      </c>
      <c r="C140" s="124" t="s">
        <v>426</v>
      </c>
      <c r="D140" s="127"/>
      <c r="E140" s="123"/>
    </row>
    <row r="141" spans="1:12" ht="14.25" customHeight="1">
      <c r="A141" s="2" t="s">
        <v>570</v>
      </c>
      <c r="B141" s="10">
        <v>400</v>
      </c>
      <c r="C141" s="98">
        <v>400</v>
      </c>
      <c r="D141" s="127" t="s">
        <v>427</v>
      </c>
      <c r="E141" s="123">
        <v>350</v>
      </c>
    </row>
    <row r="142" spans="1:12" ht="14.25" customHeight="1">
      <c r="A142" s="2" t="s">
        <v>571</v>
      </c>
      <c r="B142" s="6" t="s">
        <v>426</v>
      </c>
      <c r="C142" s="124" t="s">
        <v>426</v>
      </c>
      <c r="D142" s="127"/>
      <c r="E142" s="123"/>
      <c r="K142" s="6" t="s">
        <v>426</v>
      </c>
      <c r="L142" s="124" t="s">
        <v>426</v>
      </c>
    </row>
    <row r="143" spans="1:12" ht="14.25" customHeight="1">
      <c r="A143" s="2" t="s">
        <v>572</v>
      </c>
      <c r="B143" s="6">
        <v>250</v>
      </c>
      <c r="C143" s="124">
        <v>250</v>
      </c>
      <c r="D143" s="127" t="s">
        <v>427</v>
      </c>
      <c r="E143" s="123"/>
    </row>
    <row r="144" spans="1:12" ht="14.25" customHeight="1">
      <c r="A144" s="2" t="s">
        <v>573</v>
      </c>
      <c r="B144" s="10">
        <v>150</v>
      </c>
      <c r="C144" s="98">
        <v>150</v>
      </c>
      <c r="D144" s="127" t="s">
        <v>427</v>
      </c>
      <c r="E144" s="123" t="s">
        <v>445</v>
      </c>
    </row>
    <row r="145" spans="1:5" ht="14.25" customHeight="1">
      <c r="A145" s="2" t="s">
        <v>574</v>
      </c>
      <c r="B145" s="6" t="s">
        <v>426</v>
      </c>
      <c r="C145" s="124" t="s">
        <v>426</v>
      </c>
      <c r="D145" s="127"/>
      <c r="E145" s="123"/>
    </row>
    <row r="146" spans="1:5" ht="14.25" customHeight="1">
      <c r="A146" s="2" t="s">
        <v>575</v>
      </c>
      <c r="B146" s="6" t="s">
        <v>426</v>
      </c>
      <c r="C146" s="124" t="s">
        <v>426</v>
      </c>
      <c r="D146" s="127"/>
      <c r="E146" s="123"/>
    </row>
    <row r="147" spans="1:5" ht="14.25" customHeight="1">
      <c r="A147" s="2" t="s">
        <v>576</v>
      </c>
      <c r="B147" s="10">
        <v>600</v>
      </c>
      <c r="C147" s="98">
        <v>600</v>
      </c>
      <c r="D147" s="127" t="s">
        <v>427</v>
      </c>
      <c r="E147" s="123">
        <v>600</v>
      </c>
    </row>
    <row r="148" spans="1:5" ht="14.25" customHeight="1">
      <c r="A148" s="2" t="s">
        <v>577</v>
      </c>
      <c r="B148" s="10">
        <v>500</v>
      </c>
      <c r="C148" s="98">
        <v>500</v>
      </c>
      <c r="D148" s="127" t="s">
        <v>427</v>
      </c>
      <c r="E148" s="123"/>
    </row>
    <row r="149" spans="1:5" ht="14.25" customHeight="1">
      <c r="A149" s="2" t="s">
        <v>578</v>
      </c>
      <c r="B149" s="10">
        <v>400</v>
      </c>
      <c r="C149" s="98">
        <v>400</v>
      </c>
      <c r="D149" s="3" t="s">
        <v>427</v>
      </c>
      <c r="E149" s="123">
        <v>400</v>
      </c>
    </row>
    <row r="150" spans="1:5" ht="14.25" customHeight="1">
      <c r="A150" s="2" t="s">
        <v>579</v>
      </c>
      <c r="B150" s="10">
        <v>280</v>
      </c>
      <c r="C150" s="98">
        <v>280</v>
      </c>
      <c r="D150" s="3" t="s">
        <v>427</v>
      </c>
      <c r="E150" s="123">
        <v>200</v>
      </c>
    </row>
    <row r="151" spans="1:5" ht="14.25" customHeight="1">
      <c r="A151" s="2" t="s">
        <v>580</v>
      </c>
      <c r="B151" s="10">
        <v>150</v>
      </c>
      <c r="C151" s="98">
        <v>150</v>
      </c>
      <c r="D151" s="3" t="s">
        <v>427</v>
      </c>
      <c r="E151" s="123">
        <v>200</v>
      </c>
    </row>
    <row r="152" spans="1:5" ht="14.25" customHeight="1">
      <c r="A152" s="2" t="s">
        <v>581</v>
      </c>
      <c r="B152" s="10">
        <v>200</v>
      </c>
      <c r="C152" s="98">
        <v>200</v>
      </c>
      <c r="D152" s="3" t="s">
        <v>427</v>
      </c>
      <c r="E152" s="123"/>
    </row>
    <row r="153" spans="1:5" ht="14.25" customHeight="1">
      <c r="A153" s="2" t="s">
        <v>582</v>
      </c>
      <c r="B153" s="6" t="s">
        <v>426</v>
      </c>
      <c r="C153" s="124" t="s">
        <v>426</v>
      </c>
      <c r="D153" s="3" t="s">
        <v>427</v>
      </c>
      <c r="E153" s="123"/>
    </row>
    <row r="154" spans="1:5" ht="14.25" customHeight="1">
      <c r="A154" s="2" t="s">
        <v>583</v>
      </c>
      <c r="B154" s="6" t="s">
        <v>426</v>
      </c>
      <c r="C154" s="124" t="s">
        <v>426</v>
      </c>
      <c r="D154" s="3" t="s">
        <v>427</v>
      </c>
      <c r="E154" s="123"/>
    </row>
    <row r="155" spans="1:5" ht="14.25" customHeight="1">
      <c r="A155" s="2" t="s">
        <v>584</v>
      </c>
      <c r="B155" s="6">
        <v>150</v>
      </c>
      <c r="C155" s="124"/>
      <c r="D155" s="3"/>
      <c r="E155" s="123">
        <v>200</v>
      </c>
    </row>
    <row r="156" spans="1:5" ht="14.25" customHeight="1">
      <c r="A156" s="2" t="s">
        <v>585</v>
      </c>
      <c r="B156" s="6">
        <v>250</v>
      </c>
      <c r="C156" s="124">
        <v>250</v>
      </c>
      <c r="D156" s="3" t="s">
        <v>427</v>
      </c>
      <c r="E156" s="123">
        <v>250</v>
      </c>
    </row>
    <row r="157" spans="1:5" ht="14.25" customHeight="1">
      <c r="A157" s="2" t="s">
        <v>586</v>
      </c>
      <c r="B157" s="6" t="s">
        <v>426</v>
      </c>
      <c r="C157" s="124" t="s">
        <v>426</v>
      </c>
      <c r="D157" s="3" t="s">
        <v>427</v>
      </c>
      <c r="E157" s="123"/>
    </row>
    <row r="158" spans="1:5" ht="14.25" customHeight="1">
      <c r="A158" s="2" t="s">
        <v>587</v>
      </c>
      <c r="B158" s="10">
        <v>150</v>
      </c>
      <c r="C158" s="98">
        <v>150</v>
      </c>
      <c r="D158" s="3" t="s">
        <v>427</v>
      </c>
      <c r="E158" s="123">
        <v>150</v>
      </c>
    </row>
    <row r="159" spans="1:5" ht="14.25" customHeight="1">
      <c r="A159" s="21" t="s">
        <v>588</v>
      </c>
      <c r="B159" s="10">
        <v>280</v>
      </c>
      <c r="C159" s="98">
        <v>280</v>
      </c>
      <c r="D159" s="127" t="s">
        <v>427</v>
      </c>
      <c r="E159" s="123">
        <v>300</v>
      </c>
    </row>
    <row r="160" spans="1:5" ht="14.25" customHeight="1">
      <c r="A160" s="21" t="s">
        <v>589</v>
      </c>
      <c r="B160" s="10">
        <v>200</v>
      </c>
      <c r="C160" s="98">
        <v>200</v>
      </c>
      <c r="D160" s="127" t="s">
        <v>427</v>
      </c>
      <c r="E160" s="123">
        <v>200</v>
      </c>
    </row>
    <row r="161" spans="1:5" ht="14.25" customHeight="1">
      <c r="A161" s="21" t="s">
        <v>590</v>
      </c>
      <c r="B161" s="10">
        <v>250</v>
      </c>
      <c r="C161" s="98">
        <v>250</v>
      </c>
      <c r="D161" s="127" t="s">
        <v>427</v>
      </c>
      <c r="E161" s="123"/>
    </row>
    <row r="162" spans="1:5" ht="14.25" customHeight="1">
      <c r="A162" s="2" t="s">
        <v>591</v>
      </c>
      <c r="B162" s="10">
        <v>350</v>
      </c>
      <c r="C162" s="98">
        <v>350</v>
      </c>
      <c r="D162" s="3" t="s">
        <v>427</v>
      </c>
      <c r="E162" s="123">
        <v>400</v>
      </c>
    </row>
    <row r="163" spans="1:5" ht="14.25" customHeight="1">
      <c r="A163" s="2" t="s">
        <v>592</v>
      </c>
      <c r="B163" s="10">
        <v>350</v>
      </c>
      <c r="C163" s="98">
        <v>350</v>
      </c>
      <c r="D163" s="3" t="s">
        <v>427</v>
      </c>
      <c r="E163" s="123">
        <v>400</v>
      </c>
    </row>
    <row r="164" spans="1:5" ht="14.25" customHeight="1">
      <c r="A164" s="2" t="s">
        <v>593</v>
      </c>
      <c r="B164" s="10">
        <v>350</v>
      </c>
      <c r="C164" s="98">
        <v>350</v>
      </c>
      <c r="D164" s="127" t="s">
        <v>427</v>
      </c>
      <c r="E164" s="123">
        <v>350</v>
      </c>
    </row>
    <row r="165" spans="1:5" ht="14.25" customHeight="1">
      <c r="A165" s="2" t="s">
        <v>594</v>
      </c>
      <c r="B165" s="10"/>
      <c r="C165" s="98"/>
      <c r="D165" s="127" t="s">
        <v>427</v>
      </c>
      <c r="E165" s="123" t="s">
        <v>595</v>
      </c>
    </row>
    <row r="166" spans="1:5" ht="14.25" customHeight="1">
      <c r="A166" s="2" t="s">
        <v>596</v>
      </c>
      <c r="B166" s="6" t="s">
        <v>426</v>
      </c>
      <c r="C166" s="124" t="s">
        <v>426</v>
      </c>
      <c r="D166" s="127" t="s">
        <v>427</v>
      </c>
      <c r="E166" s="123"/>
    </row>
    <row r="167" spans="1:5" ht="14.25" customHeight="1">
      <c r="A167" s="21" t="s">
        <v>597</v>
      </c>
      <c r="B167" s="10">
        <v>650</v>
      </c>
      <c r="C167" s="98">
        <v>650</v>
      </c>
      <c r="D167" s="3" t="s">
        <v>427</v>
      </c>
      <c r="E167" s="123">
        <v>600</v>
      </c>
    </row>
    <row r="168" spans="1:5" ht="14.25" customHeight="1">
      <c r="A168" s="21" t="s">
        <v>598</v>
      </c>
      <c r="B168" s="10">
        <v>280</v>
      </c>
      <c r="C168" s="98">
        <v>280</v>
      </c>
      <c r="D168" s="3" t="s">
        <v>427</v>
      </c>
      <c r="E168" s="123">
        <v>250</v>
      </c>
    </row>
    <row r="169" spans="1:5" ht="14.25" customHeight="1">
      <c r="A169" s="21" t="s">
        <v>599</v>
      </c>
      <c r="B169" s="10">
        <v>200</v>
      </c>
      <c r="C169" s="98">
        <v>200</v>
      </c>
      <c r="D169" s="3" t="s">
        <v>427</v>
      </c>
      <c r="E169" s="123"/>
    </row>
    <row r="170" spans="1:5" ht="14.25" customHeight="1">
      <c r="A170" s="21" t="s">
        <v>600</v>
      </c>
      <c r="B170" s="10">
        <v>300</v>
      </c>
      <c r="C170" s="98">
        <v>300</v>
      </c>
      <c r="D170" s="3" t="s">
        <v>427</v>
      </c>
      <c r="E170" s="123">
        <v>300</v>
      </c>
    </row>
    <row r="171" spans="1:5" ht="14.25" customHeight="1">
      <c r="A171" s="21" t="s">
        <v>601</v>
      </c>
      <c r="B171" s="10">
        <v>250</v>
      </c>
      <c r="C171" s="98"/>
      <c r="D171" s="3" t="s">
        <v>427</v>
      </c>
      <c r="E171" s="123"/>
    </row>
    <row r="172" spans="1:5" ht="14.25" customHeight="1">
      <c r="A172" s="21" t="s">
        <v>602</v>
      </c>
      <c r="B172" s="10">
        <v>400</v>
      </c>
      <c r="C172" s="98">
        <v>400</v>
      </c>
      <c r="D172" s="3" t="s">
        <v>427</v>
      </c>
      <c r="E172" s="123"/>
    </row>
    <row r="173" spans="1:5" ht="14.25" customHeight="1">
      <c r="A173" s="21" t="s">
        <v>603</v>
      </c>
      <c r="B173" s="10">
        <v>200</v>
      </c>
      <c r="C173" s="98">
        <v>200</v>
      </c>
      <c r="D173" s="3" t="s">
        <v>427</v>
      </c>
      <c r="E173" s="123"/>
    </row>
    <row r="174" spans="1:5" ht="14.25" customHeight="1">
      <c r="A174" s="2" t="s">
        <v>604</v>
      </c>
      <c r="B174" s="10">
        <v>180</v>
      </c>
      <c r="C174" s="98">
        <v>180</v>
      </c>
      <c r="D174" s="3" t="s">
        <v>427</v>
      </c>
      <c r="E174" s="123">
        <v>200</v>
      </c>
    </row>
    <row r="175" spans="1:5" ht="14.25" customHeight="1">
      <c r="A175" s="2" t="s">
        <v>605</v>
      </c>
      <c r="B175" s="10">
        <v>250</v>
      </c>
      <c r="C175" s="98">
        <v>250</v>
      </c>
      <c r="D175" s="3" t="s">
        <v>427</v>
      </c>
      <c r="E175" s="123">
        <v>250</v>
      </c>
    </row>
    <row r="176" spans="1:5" ht="14.25" customHeight="1">
      <c r="A176" s="2" t="s">
        <v>606</v>
      </c>
      <c r="B176" s="6" t="s">
        <v>426</v>
      </c>
      <c r="C176" s="124" t="s">
        <v>426</v>
      </c>
      <c r="D176" s="3" t="s">
        <v>427</v>
      </c>
      <c r="E176" s="123"/>
    </row>
    <row r="177" spans="1:5" ht="14.25" customHeight="1">
      <c r="A177" s="2" t="s">
        <v>607</v>
      </c>
      <c r="B177" s="6" t="s">
        <v>426</v>
      </c>
      <c r="C177" s="98"/>
      <c r="D177" s="3" t="s">
        <v>427</v>
      </c>
      <c r="E177" s="123">
        <v>250</v>
      </c>
    </row>
    <row r="178" spans="1:5" ht="14.25" customHeight="1">
      <c r="A178" s="2" t="s">
        <v>608</v>
      </c>
      <c r="B178" s="10">
        <v>300</v>
      </c>
      <c r="C178" s="98">
        <v>300</v>
      </c>
      <c r="D178" s="3" t="s">
        <v>427</v>
      </c>
      <c r="E178" s="123">
        <v>300</v>
      </c>
    </row>
    <row r="179" spans="1:5" ht="14.25" customHeight="1">
      <c r="A179" s="2" t="s">
        <v>609</v>
      </c>
      <c r="B179" s="10">
        <v>250</v>
      </c>
      <c r="C179" s="98">
        <v>250</v>
      </c>
      <c r="D179" s="3" t="s">
        <v>427</v>
      </c>
      <c r="E179" s="123">
        <v>250</v>
      </c>
    </row>
    <row r="180" spans="1:5" ht="14.25" customHeight="1">
      <c r="A180" s="2" t="s">
        <v>610</v>
      </c>
      <c r="B180" s="6" t="s">
        <v>426</v>
      </c>
      <c r="C180" s="124" t="s">
        <v>426</v>
      </c>
      <c r="D180" s="3"/>
      <c r="E180" s="123"/>
    </row>
    <row r="181" spans="1:5" ht="14.25" customHeight="1">
      <c r="A181" s="2" t="s">
        <v>611</v>
      </c>
      <c r="B181" s="6" t="s">
        <v>426</v>
      </c>
      <c r="C181" s="124" t="s">
        <v>426</v>
      </c>
      <c r="D181" s="3" t="s">
        <v>427</v>
      </c>
      <c r="E181" s="123"/>
    </row>
    <row r="182" spans="1:5" ht="14.25" customHeight="1">
      <c r="B182" s="133">
        <f t="shared" ref="B182:C182" si="0">SUM(B5:B181)</f>
        <v>33780</v>
      </c>
      <c r="C182" s="75">
        <f t="shared" si="0"/>
        <v>31410</v>
      </c>
      <c r="E182" s="123">
        <f>B182-C182</f>
        <v>2370</v>
      </c>
    </row>
    <row r="183" spans="1:5" ht="14.25" customHeight="1"/>
    <row r="184" spans="1:5" ht="14.25" customHeight="1"/>
    <row r="185" spans="1:5" ht="14.25" customHeight="1"/>
    <row r="186" spans="1:5" ht="14.25" customHeight="1"/>
    <row r="187" spans="1:5" ht="14.25" customHeight="1"/>
    <row r="188" spans="1:5" ht="14.25" customHeight="1"/>
    <row r="189" spans="1:5" ht="14.25" customHeight="1"/>
    <row r="190" spans="1:5" ht="14.25" customHeight="1"/>
    <row r="191" spans="1:5" ht="14.25" customHeight="1"/>
    <row r="192" spans="1:5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ageMargins left="0.511811024" right="0.511811024" top="0.78740157499999996" bottom="0.78740157499999996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selection activeCell="I19" sqref="I19"/>
    </sheetView>
  </sheetViews>
  <sheetFormatPr defaultColWidth="14.44140625" defaultRowHeight="15" customHeight="1"/>
  <cols>
    <col min="1" max="1" width="21" customWidth="1"/>
    <col min="2" max="2" width="36" customWidth="1"/>
    <col min="3" max="26" width="8.6640625" customWidth="1"/>
  </cols>
  <sheetData>
    <row r="1" spans="1:6" ht="14.25" customHeight="1">
      <c r="E1" s="71"/>
      <c r="F1" s="71"/>
    </row>
    <row r="2" spans="1:6" ht="14.25" customHeight="1">
      <c r="A2" s="134" t="s">
        <v>612</v>
      </c>
      <c r="B2" s="135"/>
      <c r="E2" s="71"/>
      <c r="F2" s="71"/>
    </row>
    <row r="3" spans="1:6" ht="14.25" customHeight="1">
      <c r="A3" s="136"/>
      <c r="B3" s="137"/>
      <c r="E3" s="15"/>
      <c r="F3" s="15"/>
    </row>
    <row r="4" spans="1:6" ht="14.25" customHeight="1">
      <c r="A4" s="2" t="s">
        <v>321</v>
      </c>
      <c r="B4" s="2" t="s">
        <v>39</v>
      </c>
      <c r="E4" s="15"/>
      <c r="F4" s="27"/>
    </row>
    <row r="5" spans="1:6" ht="14.25" customHeight="1">
      <c r="A5" s="2" t="s">
        <v>691</v>
      </c>
      <c r="B5" s="50">
        <v>430</v>
      </c>
      <c r="E5" s="15"/>
      <c r="F5" s="27"/>
    </row>
    <row r="6" spans="1:6" ht="14.25" customHeight="1">
      <c r="A6" s="2" t="s">
        <v>692</v>
      </c>
      <c r="B6" s="50">
        <v>430</v>
      </c>
      <c r="E6" s="15"/>
      <c r="F6" s="15"/>
    </row>
    <row r="7" spans="1:6" ht="14.25" customHeight="1">
      <c r="A7" s="2" t="s">
        <v>693</v>
      </c>
      <c r="B7" s="50">
        <v>430</v>
      </c>
      <c r="E7" s="15"/>
      <c r="F7" s="15"/>
    </row>
    <row r="8" spans="1:6" ht="14.25" customHeight="1">
      <c r="A8" s="2" t="s">
        <v>694</v>
      </c>
      <c r="B8" s="50">
        <v>430</v>
      </c>
      <c r="E8" s="15"/>
      <c r="F8" s="15"/>
    </row>
    <row r="9" spans="1:6" ht="14.25" customHeight="1">
      <c r="A9" s="2" t="s">
        <v>695</v>
      </c>
      <c r="B9" s="50">
        <v>430</v>
      </c>
      <c r="E9" s="15"/>
      <c r="F9" s="15"/>
    </row>
    <row r="10" spans="1:6" ht="14.25" customHeight="1">
      <c r="A10" s="2"/>
      <c r="B10" s="2"/>
      <c r="E10" s="15"/>
      <c r="F10" s="15"/>
    </row>
    <row r="11" spans="1:6" ht="14.25" customHeight="1">
      <c r="A11" s="2"/>
      <c r="B11" s="2"/>
      <c r="E11" s="15"/>
      <c r="F11" s="15"/>
    </row>
    <row r="12" spans="1:6" ht="14.25" customHeight="1">
      <c r="A12" s="2"/>
      <c r="B12" s="2"/>
      <c r="E12" s="15"/>
      <c r="F12" s="15"/>
    </row>
    <row r="13" spans="1:6" ht="14.25" customHeight="1">
      <c r="A13" s="2"/>
      <c r="B13" s="2"/>
      <c r="E13" s="15"/>
      <c r="F13" s="15"/>
    </row>
    <row r="14" spans="1:6" ht="14.25" customHeight="1">
      <c r="A14" s="2"/>
      <c r="B14" s="2"/>
      <c r="E14" s="15"/>
      <c r="F14" s="15"/>
    </row>
    <row r="15" spans="1:6" ht="14.25" customHeight="1">
      <c r="A15" s="2"/>
      <c r="B15" s="2"/>
      <c r="E15" s="15"/>
      <c r="F15" s="15"/>
    </row>
    <row r="16" spans="1:6" ht="14.25" customHeight="1">
      <c r="A16" s="2"/>
      <c r="B16" s="2"/>
      <c r="E16" s="15"/>
      <c r="F16" s="15"/>
    </row>
    <row r="17" spans="1:6" ht="14.25" customHeight="1">
      <c r="A17" s="2"/>
      <c r="B17" s="2"/>
      <c r="E17" s="15"/>
      <c r="F17" s="15"/>
    </row>
    <row r="18" spans="1:6" ht="14.25" customHeight="1">
      <c r="A18" s="2"/>
      <c r="B18" s="2"/>
      <c r="E18" s="15"/>
      <c r="F18" s="15"/>
    </row>
    <row r="19" spans="1:6" ht="14.25" customHeight="1">
      <c r="A19" s="2"/>
      <c r="B19" s="2"/>
      <c r="E19" s="15"/>
      <c r="F19" s="15"/>
    </row>
    <row r="20" spans="1:6" ht="14.25" customHeight="1">
      <c r="A20" s="2"/>
      <c r="B20" s="2"/>
      <c r="E20" s="15"/>
      <c r="F20" s="15"/>
    </row>
    <row r="21" spans="1:6" ht="14.25" customHeight="1">
      <c r="A21" s="2"/>
      <c r="B21" s="2"/>
      <c r="E21" s="15"/>
      <c r="F21" s="15"/>
    </row>
    <row r="22" spans="1:6" ht="14.25" customHeight="1">
      <c r="A22" s="2"/>
      <c r="B22" s="2"/>
      <c r="E22" s="15"/>
      <c r="F22" s="15"/>
    </row>
    <row r="23" spans="1:6" ht="14.25" customHeight="1">
      <c r="A23" s="2"/>
      <c r="B23" s="2"/>
      <c r="E23" s="15"/>
      <c r="F23" s="15"/>
    </row>
    <row r="24" spans="1:6" ht="14.25" customHeight="1">
      <c r="A24" s="2"/>
      <c r="B24" s="2"/>
      <c r="E24" s="15"/>
      <c r="F24" s="15"/>
    </row>
    <row r="25" spans="1:6" ht="14.25" customHeight="1">
      <c r="A25" s="2"/>
      <c r="B25" s="2"/>
      <c r="E25" s="15"/>
      <c r="F25" s="27"/>
    </row>
    <row r="26" spans="1:6" ht="14.25" customHeight="1">
      <c r="A26" s="2" t="s">
        <v>34</v>
      </c>
      <c r="B26" s="50">
        <f>SUM(B5:B25)</f>
        <v>2150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defaultColWidth="14.44140625" defaultRowHeight="15" customHeight="1"/>
  <cols>
    <col min="1" max="1" width="35.33203125" customWidth="1"/>
    <col min="2" max="2" width="17.33203125" customWidth="1"/>
    <col min="3" max="26" width="8.6640625" customWidth="1"/>
  </cols>
  <sheetData>
    <row r="1" spans="1:2" ht="14.25" customHeight="1">
      <c r="A1" s="15" t="s">
        <v>613</v>
      </c>
    </row>
    <row r="2" spans="1:2" ht="14.25" customHeight="1"/>
    <row r="3" spans="1:2" ht="14.25" customHeight="1"/>
    <row r="4" spans="1:2" ht="14.25" customHeight="1"/>
    <row r="5" spans="1:2" ht="14.25" customHeight="1">
      <c r="A5" s="76" t="s">
        <v>232</v>
      </c>
      <c r="B5" s="21"/>
    </row>
    <row r="6" spans="1:2" ht="14.25" customHeight="1">
      <c r="A6" s="2" t="s">
        <v>233</v>
      </c>
      <c r="B6" s="21">
        <v>800</v>
      </c>
    </row>
    <row r="7" spans="1:2" ht="14.25" customHeight="1">
      <c r="A7" s="2" t="s">
        <v>234</v>
      </c>
      <c r="B7" s="21">
        <v>800</v>
      </c>
    </row>
    <row r="8" spans="1:2" ht="14.25" customHeight="1">
      <c r="A8" s="2" t="s">
        <v>236</v>
      </c>
      <c r="B8" s="21">
        <v>900</v>
      </c>
    </row>
    <row r="9" spans="1:2" ht="14.25" customHeight="1">
      <c r="A9" s="2" t="s">
        <v>237</v>
      </c>
      <c r="B9" s="21">
        <v>900</v>
      </c>
    </row>
    <row r="10" spans="1:2" ht="14.25" customHeight="1">
      <c r="A10" s="2" t="s">
        <v>14</v>
      </c>
      <c r="B10" s="21">
        <f>SUM(B6:B9)</f>
        <v>3400</v>
      </c>
    </row>
    <row r="11" spans="1:2" ht="14.25" customHeight="1">
      <c r="B11" s="9"/>
    </row>
    <row r="12" spans="1:2" ht="14.25" customHeight="1">
      <c r="A12" s="76" t="s">
        <v>238</v>
      </c>
      <c r="B12" s="21"/>
    </row>
    <row r="13" spans="1:2" ht="14.25" customHeight="1">
      <c r="A13" s="2" t="s">
        <v>239</v>
      </c>
      <c r="B13" s="21">
        <v>1400</v>
      </c>
    </row>
    <row r="14" spans="1:2" ht="14.25" customHeight="1">
      <c r="A14" s="2" t="s">
        <v>241</v>
      </c>
      <c r="B14" s="21">
        <v>1000</v>
      </c>
    </row>
    <row r="15" spans="1:2" ht="14.25" customHeight="1">
      <c r="A15" s="2" t="s">
        <v>243</v>
      </c>
      <c r="B15" s="21">
        <v>1000</v>
      </c>
    </row>
    <row r="16" spans="1:2" ht="14.25" customHeight="1">
      <c r="A16" s="2" t="s">
        <v>245</v>
      </c>
      <c r="B16" s="21">
        <v>235</v>
      </c>
    </row>
    <row r="17" spans="1:2" ht="14.25" customHeight="1">
      <c r="A17" s="2" t="s">
        <v>248</v>
      </c>
      <c r="B17" s="21">
        <v>235</v>
      </c>
    </row>
    <row r="18" spans="1:2" ht="14.25" customHeight="1">
      <c r="A18" s="2" t="s">
        <v>250</v>
      </c>
      <c r="B18" s="21">
        <v>235</v>
      </c>
    </row>
    <row r="19" spans="1:2" ht="14.25" customHeight="1">
      <c r="A19" s="2" t="s">
        <v>251</v>
      </c>
      <c r="B19" s="21">
        <v>131.56</v>
      </c>
    </row>
    <row r="20" spans="1:2" ht="14.25" customHeight="1">
      <c r="A20" s="2"/>
      <c r="B20" s="21">
        <f>SUM(B12:B19)</f>
        <v>4236.5600000000004</v>
      </c>
    </row>
    <row r="21" spans="1:2" ht="14.25" customHeight="1">
      <c r="B21" s="9"/>
    </row>
    <row r="22" spans="1:2" ht="14.25" customHeight="1">
      <c r="A22" s="76" t="s">
        <v>252</v>
      </c>
      <c r="B22" s="21"/>
    </row>
    <row r="23" spans="1:2" ht="14.25" customHeight="1">
      <c r="A23" s="2" t="s">
        <v>253</v>
      </c>
      <c r="B23" s="21">
        <v>1400</v>
      </c>
    </row>
    <row r="24" spans="1:2" ht="14.25" customHeight="1">
      <c r="A24" s="2" t="s">
        <v>254</v>
      </c>
      <c r="B24" s="21">
        <v>1000</v>
      </c>
    </row>
    <row r="25" spans="1:2" ht="14.25" customHeight="1">
      <c r="A25" s="2" t="s">
        <v>255</v>
      </c>
      <c r="B25" s="21">
        <v>1850</v>
      </c>
    </row>
    <row r="26" spans="1:2" ht="14.25" customHeight="1">
      <c r="A26" s="2" t="s">
        <v>256</v>
      </c>
      <c r="B26" s="21">
        <v>500</v>
      </c>
    </row>
    <row r="27" spans="1:2" ht="14.25" customHeight="1">
      <c r="A27" s="2" t="s">
        <v>14</v>
      </c>
      <c r="B27" s="21">
        <f>SUM(B23:B26)</f>
        <v>4750</v>
      </c>
    </row>
    <row r="28" spans="1:2" ht="14.25" customHeight="1">
      <c r="B28" s="9"/>
    </row>
    <row r="29" spans="1:2" ht="14.25" customHeight="1">
      <c r="A29" s="76" t="s">
        <v>257</v>
      </c>
      <c r="B29" s="2"/>
    </row>
    <row r="30" spans="1:2" ht="14.25" customHeight="1">
      <c r="A30" s="2" t="s">
        <v>256</v>
      </c>
      <c r="B30" s="21">
        <v>500</v>
      </c>
    </row>
    <row r="31" spans="1:2" ht="14.25" customHeight="1">
      <c r="A31" s="2" t="s">
        <v>14</v>
      </c>
      <c r="B31" s="21">
        <v>500</v>
      </c>
    </row>
    <row r="32" spans="1:2" ht="14.25" customHeight="1">
      <c r="B32" s="9"/>
    </row>
    <row r="33" spans="1:2" ht="14.25" customHeight="1">
      <c r="A33" s="76" t="s">
        <v>258</v>
      </c>
      <c r="B33" s="21"/>
    </row>
    <row r="34" spans="1:2" ht="14.25" customHeight="1">
      <c r="A34" s="2" t="s">
        <v>259</v>
      </c>
      <c r="B34" s="21">
        <v>500</v>
      </c>
    </row>
    <row r="35" spans="1:2" ht="14.25" customHeight="1">
      <c r="A35" s="2" t="s">
        <v>14</v>
      </c>
      <c r="B35" s="21">
        <v>500</v>
      </c>
    </row>
    <row r="36" spans="1:2" ht="14.25" customHeight="1">
      <c r="B36" s="9"/>
    </row>
    <row r="37" spans="1:2" ht="14.25" customHeight="1">
      <c r="A37" s="73" t="s">
        <v>260</v>
      </c>
      <c r="B37" s="29">
        <f>B10+B20+B27+B31+B35</f>
        <v>13386.560000000001</v>
      </c>
    </row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000"/>
  <sheetViews>
    <sheetView topLeftCell="A100" workbookViewId="0">
      <selection activeCell="I117" sqref="I117"/>
    </sheetView>
  </sheetViews>
  <sheetFormatPr defaultColWidth="14.44140625" defaultRowHeight="15" customHeight="1"/>
  <cols>
    <col min="1" max="1" width="17.5546875" customWidth="1"/>
    <col min="2" max="2" width="46.44140625" customWidth="1"/>
    <col min="3" max="3" width="1" customWidth="1"/>
    <col min="4" max="4" width="8.88671875" hidden="1" customWidth="1"/>
    <col min="5" max="5" width="10.33203125" hidden="1" customWidth="1"/>
    <col min="6" max="6" width="5" hidden="1" customWidth="1"/>
    <col min="7" max="7" width="2.109375" hidden="1" customWidth="1"/>
    <col min="8" max="9" width="8.6640625" customWidth="1"/>
    <col min="10" max="10" width="11.5546875" customWidth="1"/>
    <col min="11" max="26" width="8.6640625" customWidth="1"/>
  </cols>
  <sheetData>
    <row r="1" spans="1:14" ht="14.25" customHeight="1"/>
    <row r="2" spans="1:14" ht="14.25" customHeight="1">
      <c r="A2" s="134" t="s">
        <v>614</v>
      </c>
      <c r="B2" s="135"/>
      <c r="C2" s="138"/>
      <c r="D2" s="138"/>
      <c r="E2" s="138"/>
      <c r="F2" s="138"/>
      <c r="G2" s="135"/>
    </row>
    <row r="3" spans="1:14" ht="14.25" customHeight="1">
      <c r="A3" s="136"/>
      <c r="B3" s="137"/>
      <c r="C3" s="139"/>
      <c r="D3" s="139"/>
      <c r="E3" s="139"/>
      <c r="F3" s="139"/>
      <c r="G3" s="137"/>
    </row>
    <row r="4" spans="1:14" ht="14.25" customHeight="1">
      <c r="A4" s="82" t="s">
        <v>615</v>
      </c>
      <c r="B4" s="43"/>
    </row>
    <row r="5" spans="1:14" ht="14.25" customHeight="1">
      <c r="A5" s="140">
        <v>1000</v>
      </c>
      <c r="B5" s="59"/>
      <c r="J5" s="82">
        <v>2021</v>
      </c>
      <c r="K5" s="41" t="s">
        <v>616</v>
      </c>
      <c r="L5" s="41"/>
      <c r="M5" s="41"/>
      <c r="N5" s="43"/>
    </row>
    <row r="6" spans="1:14" ht="14.25" customHeight="1">
      <c r="A6" s="2" t="s">
        <v>617</v>
      </c>
      <c r="B6" s="2" t="s">
        <v>39</v>
      </c>
      <c r="J6" s="85" t="s">
        <v>618</v>
      </c>
      <c r="K6" s="58"/>
      <c r="L6" s="58"/>
      <c r="M6" s="58"/>
      <c r="N6" s="59"/>
    </row>
    <row r="7" spans="1:14" ht="14.25" customHeight="1">
      <c r="A7" s="2" t="s">
        <v>141</v>
      </c>
      <c r="B7" s="86">
        <v>1000</v>
      </c>
    </row>
    <row r="8" spans="1:14" ht="14.25" customHeight="1">
      <c r="A8" s="2" t="s">
        <v>619</v>
      </c>
      <c r="B8" s="2" t="s">
        <v>620</v>
      </c>
    </row>
    <row r="9" spans="1:14" ht="14.25" customHeight="1">
      <c r="A9" s="2" t="s">
        <v>621</v>
      </c>
      <c r="B9" s="2" t="s">
        <v>620</v>
      </c>
      <c r="J9" s="82">
        <v>2022</v>
      </c>
      <c r="K9" s="41" t="s">
        <v>622</v>
      </c>
      <c r="L9" s="41"/>
      <c r="M9" s="41"/>
      <c r="N9" s="43"/>
    </row>
    <row r="10" spans="1:14" ht="14.25" customHeight="1">
      <c r="A10" s="2" t="s">
        <v>623</v>
      </c>
      <c r="B10" s="2" t="s">
        <v>620</v>
      </c>
      <c r="J10" s="85" t="s">
        <v>624</v>
      </c>
      <c r="K10" s="58"/>
      <c r="L10" s="58"/>
      <c r="M10" s="58"/>
      <c r="N10" s="59"/>
    </row>
    <row r="11" spans="1:14" ht="14.25" customHeight="1">
      <c r="A11" s="2" t="s">
        <v>625</v>
      </c>
      <c r="B11" s="2" t="s">
        <v>620</v>
      </c>
    </row>
    <row r="12" spans="1:14" ht="14.25" customHeight="1">
      <c r="A12" s="2" t="s">
        <v>626</v>
      </c>
      <c r="B12" s="86">
        <v>1000</v>
      </c>
    </row>
    <row r="13" spans="1:14" ht="14.25" customHeight="1">
      <c r="A13" s="2" t="s">
        <v>627</v>
      </c>
      <c r="B13" s="86">
        <v>1000</v>
      </c>
      <c r="J13" s="82">
        <v>2023</v>
      </c>
      <c r="K13" s="41" t="s">
        <v>622</v>
      </c>
      <c r="L13" s="41"/>
      <c r="M13" s="41"/>
      <c r="N13" s="43"/>
    </row>
    <row r="14" spans="1:14" ht="14.25" customHeight="1">
      <c r="A14" s="2" t="s">
        <v>628</v>
      </c>
      <c r="B14" s="2" t="s">
        <v>620</v>
      </c>
      <c r="J14" s="85" t="s">
        <v>624</v>
      </c>
      <c r="K14" s="58"/>
      <c r="L14" s="58"/>
      <c r="M14" s="58"/>
      <c r="N14" s="59"/>
    </row>
    <row r="15" spans="1:14" ht="14.25" customHeight="1">
      <c r="A15" s="2" t="s">
        <v>629</v>
      </c>
      <c r="B15" s="2" t="s">
        <v>620</v>
      </c>
    </row>
    <row r="16" spans="1:14" ht="14.25" customHeight="1">
      <c r="A16" s="2" t="s">
        <v>630</v>
      </c>
      <c r="B16" s="2" t="s">
        <v>620</v>
      </c>
    </row>
    <row r="17" spans="1:19" ht="14.25" customHeight="1">
      <c r="A17" s="2" t="s">
        <v>631</v>
      </c>
      <c r="B17" s="2" t="s">
        <v>620</v>
      </c>
      <c r="J17" s="82">
        <v>2024</v>
      </c>
      <c r="K17" s="41" t="s">
        <v>622</v>
      </c>
      <c r="L17" s="41"/>
      <c r="M17" s="41"/>
      <c r="N17" s="43"/>
    </row>
    <row r="18" spans="1:19" ht="14.25" customHeight="1">
      <c r="A18" s="2" t="s">
        <v>136</v>
      </c>
      <c r="B18" s="2" t="s">
        <v>620</v>
      </c>
      <c r="J18" s="85" t="s">
        <v>632</v>
      </c>
      <c r="K18" s="58"/>
      <c r="L18" s="58"/>
      <c r="M18" s="58"/>
      <c r="N18" s="59"/>
      <c r="O18" s="15"/>
      <c r="P18" s="15"/>
      <c r="Q18" s="15"/>
      <c r="R18" s="15"/>
      <c r="S18" s="15"/>
    </row>
    <row r="19" spans="1:19" ht="14.25" customHeight="1">
      <c r="A19" s="2" t="s">
        <v>633</v>
      </c>
      <c r="B19" s="2" t="s">
        <v>620</v>
      </c>
      <c r="O19" s="15"/>
      <c r="P19" s="15"/>
      <c r="Q19" s="15"/>
      <c r="R19" s="15"/>
      <c r="S19" s="15"/>
    </row>
    <row r="20" spans="1:19" ht="14.25" customHeight="1">
      <c r="A20" s="2"/>
      <c r="B20" s="2"/>
      <c r="K20" s="15"/>
      <c r="L20" s="15"/>
    </row>
    <row r="21" spans="1:19" ht="14.25" customHeight="1">
      <c r="A21" s="2" t="s">
        <v>634</v>
      </c>
      <c r="B21" s="86">
        <v>10000</v>
      </c>
      <c r="J21" s="82">
        <v>2025</v>
      </c>
      <c r="K21" s="41" t="s">
        <v>622</v>
      </c>
      <c r="L21" s="41"/>
      <c r="M21" s="41"/>
      <c r="N21" s="43"/>
    </row>
    <row r="22" spans="1:19" ht="14.25" customHeight="1">
      <c r="J22" s="85" t="s">
        <v>635</v>
      </c>
      <c r="K22" s="58"/>
      <c r="L22" s="58"/>
      <c r="M22" s="58"/>
      <c r="N22" s="59"/>
    </row>
    <row r="23" spans="1:19" ht="14.25" customHeight="1">
      <c r="K23" s="15"/>
      <c r="L23" s="28"/>
    </row>
    <row r="24" spans="1:19" ht="14.25" customHeight="1">
      <c r="A24" s="82" t="s">
        <v>636</v>
      </c>
      <c r="B24" s="43"/>
      <c r="K24" s="15"/>
      <c r="L24" s="15"/>
    </row>
    <row r="25" spans="1:19" ht="14.25" customHeight="1">
      <c r="A25" s="140">
        <v>1100</v>
      </c>
      <c r="B25" s="59"/>
      <c r="J25" s="82" t="s">
        <v>637</v>
      </c>
      <c r="K25" s="41"/>
      <c r="L25" s="41"/>
      <c r="M25" s="41"/>
      <c r="N25" s="43"/>
      <c r="Q25" s="15" t="s">
        <v>638</v>
      </c>
    </row>
    <row r="26" spans="1:19" ht="14.25" customHeight="1">
      <c r="A26" s="2" t="s">
        <v>617</v>
      </c>
      <c r="B26" s="2" t="s">
        <v>39</v>
      </c>
      <c r="J26" s="141">
        <v>56300</v>
      </c>
      <c r="K26" s="58"/>
      <c r="L26" s="58"/>
      <c r="M26" s="58"/>
      <c r="N26" s="59"/>
    </row>
    <row r="27" spans="1:19" ht="14.25" customHeight="1">
      <c r="A27" s="2" t="s">
        <v>141</v>
      </c>
      <c r="B27" s="86" t="s">
        <v>620</v>
      </c>
      <c r="K27" s="15"/>
      <c r="L27" s="15"/>
    </row>
    <row r="28" spans="1:19" ht="14.25" customHeight="1">
      <c r="A28" s="2" t="s">
        <v>619</v>
      </c>
      <c r="B28" s="2" t="s">
        <v>620</v>
      </c>
      <c r="K28" s="15"/>
      <c r="L28" s="28"/>
    </row>
    <row r="29" spans="1:19" ht="14.25" customHeight="1">
      <c r="A29" s="2" t="s">
        <v>621</v>
      </c>
      <c r="B29" s="2" t="s">
        <v>620</v>
      </c>
      <c r="K29" s="15"/>
      <c r="L29" s="28"/>
    </row>
    <row r="30" spans="1:19" ht="14.25" customHeight="1">
      <c r="A30" s="2" t="s">
        <v>623</v>
      </c>
      <c r="B30" s="2" t="s">
        <v>620</v>
      </c>
      <c r="K30" s="15"/>
      <c r="L30" s="15"/>
    </row>
    <row r="31" spans="1:19" ht="14.25" customHeight="1">
      <c r="A31" s="2" t="s">
        <v>625</v>
      </c>
      <c r="B31" s="2" t="s">
        <v>620</v>
      </c>
      <c r="K31" s="15"/>
      <c r="L31" s="15"/>
    </row>
    <row r="32" spans="1:19" ht="14.25" customHeight="1">
      <c r="A32" s="2" t="s">
        <v>626</v>
      </c>
      <c r="B32" s="86" t="s">
        <v>620</v>
      </c>
      <c r="K32" s="15"/>
      <c r="L32" s="15"/>
    </row>
    <row r="33" spans="1:12" ht="14.25" customHeight="1">
      <c r="A33" s="2" t="s">
        <v>627</v>
      </c>
      <c r="B33" s="86" t="s">
        <v>620</v>
      </c>
      <c r="K33" s="15"/>
      <c r="L33" s="15"/>
    </row>
    <row r="34" spans="1:12" ht="14.25" customHeight="1">
      <c r="A34" s="2" t="s">
        <v>628</v>
      </c>
      <c r="B34" s="2" t="s">
        <v>620</v>
      </c>
      <c r="K34" s="15"/>
      <c r="L34" s="15"/>
    </row>
    <row r="35" spans="1:12" ht="14.25" customHeight="1">
      <c r="A35" s="2" t="s">
        <v>629</v>
      </c>
      <c r="B35" s="2" t="s">
        <v>620</v>
      </c>
      <c r="K35" s="15"/>
      <c r="L35" s="15"/>
    </row>
    <row r="36" spans="1:12" ht="14.25" customHeight="1">
      <c r="A36" s="2" t="s">
        <v>630</v>
      </c>
      <c r="B36" s="2" t="s">
        <v>620</v>
      </c>
      <c r="K36" s="15"/>
      <c r="L36" s="15"/>
    </row>
    <row r="37" spans="1:12" ht="14.25" customHeight="1">
      <c r="A37" s="2" t="s">
        <v>631</v>
      </c>
      <c r="B37" s="2" t="s">
        <v>620</v>
      </c>
      <c r="K37" s="15"/>
      <c r="L37" s="28"/>
    </row>
    <row r="38" spans="1:12" ht="14.25" customHeight="1">
      <c r="A38" s="2" t="s">
        <v>136</v>
      </c>
      <c r="B38" s="2" t="s">
        <v>620</v>
      </c>
    </row>
    <row r="39" spans="1:12" ht="14.25" customHeight="1">
      <c r="A39" s="2" t="s">
        <v>633</v>
      </c>
      <c r="B39" s="2" t="s">
        <v>620</v>
      </c>
    </row>
    <row r="40" spans="1:12" ht="14.25" customHeight="1">
      <c r="A40" s="2"/>
      <c r="B40" s="2"/>
    </row>
    <row r="41" spans="1:12" ht="14.25" customHeight="1">
      <c r="A41" s="2" t="s">
        <v>634</v>
      </c>
      <c r="B41" s="86">
        <v>14300</v>
      </c>
    </row>
    <row r="42" spans="1:12" ht="14.25" customHeight="1"/>
    <row r="43" spans="1:12" ht="14.25" customHeight="1"/>
    <row r="44" spans="1:12" ht="14.25" customHeight="1">
      <c r="A44" s="82" t="s">
        <v>639</v>
      </c>
      <c r="B44" s="43"/>
    </row>
    <row r="45" spans="1:12" ht="14.25" customHeight="1">
      <c r="A45" s="140">
        <v>1100</v>
      </c>
      <c r="B45" s="59"/>
    </row>
    <row r="46" spans="1:12" ht="14.25" customHeight="1">
      <c r="A46" s="2" t="s">
        <v>617</v>
      </c>
      <c r="B46" s="2" t="s">
        <v>39</v>
      </c>
    </row>
    <row r="47" spans="1:12" ht="14.25" customHeight="1">
      <c r="A47" s="2" t="s">
        <v>141</v>
      </c>
      <c r="B47" s="86" t="s">
        <v>620</v>
      </c>
    </row>
    <row r="48" spans="1:12" ht="14.25" customHeight="1">
      <c r="A48" s="2" t="s">
        <v>619</v>
      </c>
      <c r="B48" s="2" t="s">
        <v>620</v>
      </c>
    </row>
    <row r="49" spans="1:2" ht="14.25" customHeight="1">
      <c r="A49" s="2" t="s">
        <v>621</v>
      </c>
      <c r="B49" s="2" t="s">
        <v>620</v>
      </c>
    </row>
    <row r="50" spans="1:2" ht="14.25" customHeight="1">
      <c r="A50" s="2" t="s">
        <v>623</v>
      </c>
      <c r="B50" s="2" t="s">
        <v>620</v>
      </c>
    </row>
    <row r="51" spans="1:2" ht="14.25" customHeight="1">
      <c r="A51" s="2" t="s">
        <v>625</v>
      </c>
      <c r="B51" s="2" t="s">
        <v>620</v>
      </c>
    </row>
    <row r="52" spans="1:2" ht="14.25" customHeight="1">
      <c r="A52" s="2" t="s">
        <v>626</v>
      </c>
      <c r="B52" s="86" t="s">
        <v>620</v>
      </c>
    </row>
    <row r="53" spans="1:2" ht="14.25" customHeight="1">
      <c r="A53" s="2" t="s">
        <v>627</v>
      </c>
      <c r="B53" s="86" t="s">
        <v>620</v>
      </c>
    </row>
    <row r="54" spans="1:2" ht="14.25" customHeight="1">
      <c r="A54" s="2" t="s">
        <v>628</v>
      </c>
      <c r="B54" s="2" t="s">
        <v>620</v>
      </c>
    </row>
    <row r="55" spans="1:2" ht="14.25" customHeight="1">
      <c r="A55" s="2" t="s">
        <v>629</v>
      </c>
      <c r="B55" s="2" t="s">
        <v>620</v>
      </c>
    </row>
    <row r="56" spans="1:2" ht="14.25" customHeight="1">
      <c r="A56" s="2" t="s">
        <v>630</v>
      </c>
      <c r="B56" s="2" t="s">
        <v>620</v>
      </c>
    </row>
    <row r="57" spans="1:2" ht="14.25" customHeight="1">
      <c r="A57" s="2" t="s">
        <v>631</v>
      </c>
      <c r="B57" s="2" t="s">
        <v>620</v>
      </c>
    </row>
    <row r="58" spans="1:2" ht="14.25" customHeight="1">
      <c r="A58" s="2" t="s">
        <v>136</v>
      </c>
      <c r="B58" s="2" t="s">
        <v>620</v>
      </c>
    </row>
    <row r="59" spans="1:2" ht="14.25" customHeight="1">
      <c r="A59" s="2" t="s">
        <v>633</v>
      </c>
      <c r="B59" s="2" t="s">
        <v>620</v>
      </c>
    </row>
    <row r="60" spans="1:2" ht="14.25" customHeight="1">
      <c r="A60" s="2"/>
      <c r="B60" s="2"/>
    </row>
    <row r="61" spans="1:2" ht="14.25" customHeight="1">
      <c r="A61" s="2" t="s">
        <v>634</v>
      </c>
      <c r="B61" s="86">
        <v>14300</v>
      </c>
    </row>
    <row r="62" spans="1:2" ht="14.25" customHeight="1"/>
    <row r="63" spans="1:2" ht="14.25" customHeight="1"/>
    <row r="64" spans="1:2" ht="14.25" customHeight="1">
      <c r="A64" s="82" t="s">
        <v>640</v>
      </c>
      <c r="B64" s="43"/>
    </row>
    <row r="65" spans="1:2" ht="14.25" customHeight="1">
      <c r="A65" s="140">
        <v>1100</v>
      </c>
      <c r="B65" s="59"/>
    </row>
    <row r="66" spans="1:2" ht="14.25" customHeight="1">
      <c r="A66" s="2" t="s">
        <v>617</v>
      </c>
      <c r="B66" s="2" t="s">
        <v>39</v>
      </c>
    </row>
    <row r="67" spans="1:2" ht="14.25" customHeight="1">
      <c r="A67" s="2" t="s">
        <v>141</v>
      </c>
      <c r="B67" s="86" t="s">
        <v>620</v>
      </c>
    </row>
    <row r="68" spans="1:2" ht="14.25" customHeight="1">
      <c r="A68" s="2" t="s">
        <v>619</v>
      </c>
      <c r="B68" s="2" t="s">
        <v>620</v>
      </c>
    </row>
    <row r="69" spans="1:2" ht="14.25" customHeight="1">
      <c r="A69" s="2" t="s">
        <v>621</v>
      </c>
      <c r="B69" s="2" t="s">
        <v>620</v>
      </c>
    </row>
    <row r="70" spans="1:2" ht="14.25" customHeight="1">
      <c r="A70" s="2" t="s">
        <v>623</v>
      </c>
      <c r="B70" s="2" t="s">
        <v>620</v>
      </c>
    </row>
    <row r="71" spans="1:2" ht="14.25" customHeight="1">
      <c r="A71" s="2" t="s">
        <v>625</v>
      </c>
      <c r="B71" s="2" t="s">
        <v>620</v>
      </c>
    </row>
    <row r="72" spans="1:2" ht="14.25" customHeight="1">
      <c r="A72" s="2" t="s">
        <v>626</v>
      </c>
      <c r="B72" s="86" t="s">
        <v>620</v>
      </c>
    </row>
    <row r="73" spans="1:2" ht="14.25" customHeight="1">
      <c r="A73" s="2" t="s">
        <v>627</v>
      </c>
      <c r="B73" s="86" t="s">
        <v>620</v>
      </c>
    </row>
    <row r="74" spans="1:2" ht="14.25" customHeight="1">
      <c r="A74" s="2" t="s">
        <v>628</v>
      </c>
      <c r="B74" s="2" t="s">
        <v>620</v>
      </c>
    </row>
    <row r="75" spans="1:2" ht="14.25" customHeight="1">
      <c r="A75" s="2" t="s">
        <v>629</v>
      </c>
      <c r="B75" s="2" t="s">
        <v>620</v>
      </c>
    </row>
    <row r="76" spans="1:2" ht="14.25" customHeight="1">
      <c r="A76" s="2" t="s">
        <v>630</v>
      </c>
      <c r="B76" s="2" t="s">
        <v>620</v>
      </c>
    </row>
    <row r="77" spans="1:2" ht="14.25" customHeight="1">
      <c r="A77" s="2" t="s">
        <v>631</v>
      </c>
      <c r="B77" s="14">
        <v>1000</v>
      </c>
    </row>
    <row r="78" spans="1:2" ht="14.25" customHeight="1">
      <c r="A78" s="2" t="s">
        <v>136</v>
      </c>
      <c r="B78" s="2" t="s">
        <v>620</v>
      </c>
    </row>
    <row r="79" spans="1:2" ht="14.25" customHeight="1">
      <c r="A79" s="2" t="s">
        <v>633</v>
      </c>
      <c r="B79" s="2" t="s">
        <v>620</v>
      </c>
    </row>
    <row r="80" spans="1:2" ht="14.25" customHeight="1">
      <c r="A80" s="2"/>
      <c r="B80" s="2"/>
    </row>
    <row r="81" spans="1:15" ht="14.25" customHeight="1">
      <c r="A81" s="2" t="s">
        <v>634</v>
      </c>
      <c r="B81" s="86">
        <v>13000</v>
      </c>
    </row>
    <row r="82" spans="1:15" ht="14.25" customHeight="1"/>
    <row r="83" spans="1:15" ht="14.25" customHeight="1"/>
    <row r="84" spans="1:15" ht="14.25" customHeight="1">
      <c r="A84" s="82" t="s">
        <v>641</v>
      </c>
      <c r="B84" s="43"/>
    </row>
    <row r="85" spans="1:15" ht="14.25" customHeight="1">
      <c r="A85" s="140">
        <v>1100</v>
      </c>
      <c r="B85" s="59"/>
    </row>
    <row r="86" spans="1:15" ht="14.25" customHeight="1">
      <c r="A86" s="2" t="s">
        <v>617</v>
      </c>
      <c r="B86" s="2" t="s">
        <v>39</v>
      </c>
    </row>
    <row r="87" spans="1:15" ht="14.25" customHeight="1">
      <c r="A87" s="2" t="s">
        <v>141</v>
      </c>
      <c r="B87" s="86" t="s">
        <v>620</v>
      </c>
    </row>
    <row r="88" spans="1:15" ht="14.25" customHeight="1">
      <c r="A88" s="2" t="s">
        <v>619</v>
      </c>
      <c r="B88" s="2" t="s">
        <v>620</v>
      </c>
    </row>
    <row r="89" spans="1:15" ht="14.25" customHeight="1">
      <c r="A89" s="2" t="s">
        <v>621</v>
      </c>
      <c r="B89" s="2" t="s">
        <v>620</v>
      </c>
      <c r="N89" s="15"/>
      <c r="O89" s="15"/>
    </row>
    <row r="90" spans="1:15" ht="14.25" customHeight="1">
      <c r="A90" s="2" t="s">
        <v>623</v>
      </c>
      <c r="B90" s="2" t="s">
        <v>620</v>
      </c>
      <c r="N90" s="123"/>
      <c r="O90" s="15"/>
    </row>
    <row r="91" spans="1:15" ht="14.25" customHeight="1">
      <c r="A91" s="2" t="s">
        <v>625</v>
      </c>
      <c r="B91" s="50">
        <v>490</v>
      </c>
      <c r="N91" s="15"/>
      <c r="O91" s="15"/>
    </row>
    <row r="92" spans="1:15" ht="14.25" customHeight="1">
      <c r="A92" s="2" t="s">
        <v>626</v>
      </c>
      <c r="B92" s="50">
        <v>490</v>
      </c>
      <c r="N92" s="15"/>
      <c r="O92" s="28"/>
    </row>
    <row r="93" spans="1:15" ht="14.25" customHeight="1">
      <c r="A93" s="2" t="s">
        <v>627</v>
      </c>
      <c r="B93" s="50">
        <v>490</v>
      </c>
      <c r="N93" s="15"/>
      <c r="O93" s="15"/>
    </row>
    <row r="94" spans="1:15" ht="14.25" customHeight="1">
      <c r="A94" s="2" t="s">
        <v>628</v>
      </c>
      <c r="B94" s="50">
        <v>490</v>
      </c>
      <c r="N94" s="15"/>
      <c r="O94" s="15"/>
    </row>
    <row r="95" spans="1:15" ht="14.25" customHeight="1">
      <c r="A95" s="2" t="s">
        <v>629</v>
      </c>
      <c r="B95" s="50">
        <v>490</v>
      </c>
      <c r="N95" s="15"/>
      <c r="O95" s="15"/>
    </row>
    <row r="96" spans="1:15" ht="14.25" customHeight="1">
      <c r="A96" s="2" t="s">
        <v>630</v>
      </c>
      <c r="B96" s="50">
        <v>490</v>
      </c>
      <c r="N96" s="15"/>
      <c r="O96" s="15"/>
    </row>
    <row r="97" spans="1:15" ht="14.25" customHeight="1">
      <c r="A97" s="2" t="s">
        <v>631</v>
      </c>
      <c r="B97" s="50">
        <v>490</v>
      </c>
      <c r="N97" s="15"/>
      <c r="O97" s="28"/>
    </row>
    <row r="98" spans="1:15" ht="14.25" customHeight="1">
      <c r="A98" s="2" t="s">
        <v>136</v>
      </c>
      <c r="B98" s="50">
        <v>500</v>
      </c>
      <c r="N98" s="15"/>
      <c r="O98" s="28"/>
    </row>
    <row r="99" spans="1:15" ht="14.25" customHeight="1">
      <c r="A99" s="2" t="s">
        <v>633</v>
      </c>
      <c r="B99" s="50">
        <v>500</v>
      </c>
      <c r="N99" s="15"/>
      <c r="O99" s="15"/>
    </row>
    <row r="100" spans="1:15" ht="14.25" customHeight="1">
      <c r="A100" s="2"/>
      <c r="B100" s="2"/>
      <c r="N100" s="15"/>
      <c r="O100" s="15"/>
    </row>
    <row r="101" spans="1:15" ht="14.25" customHeight="1">
      <c r="A101" s="2" t="s">
        <v>634</v>
      </c>
      <c r="B101" s="86">
        <v>4400</v>
      </c>
      <c r="N101" s="15"/>
      <c r="O101" s="15"/>
    </row>
    <row r="102" spans="1:15" ht="14.25" customHeight="1">
      <c r="N102" s="15"/>
      <c r="O102" s="123"/>
    </row>
    <row r="103" spans="1:15" ht="14.25" customHeight="1">
      <c r="N103" s="15"/>
      <c r="O103" s="15"/>
    </row>
    <row r="104" spans="1:15" ht="14.25" customHeight="1">
      <c r="A104" s="82" t="s">
        <v>642</v>
      </c>
      <c r="B104" s="43"/>
      <c r="N104" s="15"/>
      <c r="O104" s="15"/>
    </row>
    <row r="105" spans="1:15" ht="14.25" customHeight="1">
      <c r="A105" s="140">
        <v>520</v>
      </c>
      <c r="B105" s="59"/>
      <c r="N105" s="15"/>
      <c r="O105" s="15"/>
    </row>
    <row r="106" spans="1:15" ht="14.25" customHeight="1">
      <c r="A106" s="2" t="s">
        <v>617</v>
      </c>
      <c r="B106" s="2" t="s">
        <v>39</v>
      </c>
      <c r="N106" s="15"/>
      <c r="O106" s="28"/>
    </row>
    <row r="107" spans="1:15" ht="14.25" customHeight="1">
      <c r="A107" s="2" t="s">
        <v>141</v>
      </c>
      <c r="B107" s="86">
        <v>520</v>
      </c>
    </row>
    <row r="108" spans="1:15" ht="14.25" customHeight="1">
      <c r="A108" s="2" t="s">
        <v>619</v>
      </c>
      <c r="B108" s="50">
        <v>520</v>
      </c>
    </row>
    <row r="109" spans="1:15" ht="14.25" customHeight="1">
      <c r="A109" s="2" t="s">
        <v>621</v>
      </c>
      <c r="B109" s="50">
        <v>520</v>
      </c>
    </row>
    <row r="110" spans="1:15" ht="14.25" customHeight="1">
      <c r="A110" s="2" t="s">
        <v>623</v>
      </c>
      <c r="B110" s="50">
        <v>520</v>
      </c>
    </row>
    <row r="111" spans="1:15" ht="14.25" customHeight="1">
      <c r="A111" s="2" t="s">
        <v>625</v>
      </c>
      <c r="B111" s="50">
        <v>520</v>
      </c>
    </row>
    <row r="112" spans="1:15" ht="14.25" customHeight="1">
      <c r="A112" s="2" t="s">
        <v>626</v>
      </c>
      <c r="B112" s="50">
        <v>520</v>
      </c>
    </row>
    <row r="113" spans="1:2" ht="14.25" customHeight="1">
      <c r="A113" s="2" t="s">
        <v>627</v>
      </c>
      <c r="B113" s="50">
        <v>520</v>
      </c>
    </row>
    <row r="114" spans="1:2" ht="14.25" customHeight="1">
      <c r="A114" s="2" t="s">
        <v>628</v>
      </c>
      <c r="B114" s="50">
        <v>520</v>
      </c>
    </row>
    <row r="115" spans="1:2" ht="14.25" customHeight="1">
      <c r="A115" s="2" t="s">
        <v>629</v>
      </c>
      <c r="B115" s="50"/>
    </row>
    <row r="116" spans="1:2" ht="14.25" customHeight="1">
      <c r="A116" s="2" t="s">
        <v>630</v>
      </c>
      <c r="B116" s="50"/>
    </row>
    <row r="117" spans="1:2" ht="14.25" customHeight="1">
      <c r="A117" s="2" t="s">
        <v>631</v>
      </c>
      <c r="B117" s="50"/>
    </row>
    <row r="118" spans="1:2" ht="14.25" customHeight="1">
      <c r="A118" s="2" t="s">
        <v>136</v>
      </c>
      <c r="B118" s="50"/>
    </row>
    <row r="119" spans="1:2" ht="14.25" customHeight="1">
      <c r="A119" s="2" t="s">
        <v>633</v>
      </c>
      <c r="B119" s="2"/>
    </row>
    <row r="120" spans="1:2" ht="14.25" customHeight="1">
      <c r="A120" s="2"/>
      <c r="B120" s="2"/>
    </row>
    <row r="121" spans="1:2" ht="14.25" customHeight="1">
      <c r="A121" s="2" t="s">
        <v>634</v>
      </c>
      <c r="B121" s="86"/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Desp Escr</vt:lpstr>
      <vt:lpstr>Desp Pessoais</vt:lpstr>
      <vt:lpstr>Planilha3</vt:lpstr>
      <vt:lpstr>Honorario</vt:lpstr>
      <vt:lpstr>Planilha4</vt:lpstr>
      <vt:lpstr>CLIENTES QUE NÃO PAGAM</vt:lpstr>
      <vt:lpstr>relatórios debitos joja</vt:lpstr>
      <vt:lpstr>Banco</vt:lpstr>
      <vt:lpstr>Planilha Débito Consorcio Magrã</vt:lpstr>
      <vt:lpstr>Resumo</vt:lpstr>
      <vt:lpstr>Ano</vt:lpstr>
      <vt:lpstr>IR 2026</vt:lpstr>
      <vt:lpstr>PLANILHA SANEPRAG PARA ABATER N</vt:lpstr>
      <vt:lpstr>Joja</vt:lpstr>
      <vt:lpstr>Planilha5</vt:lpstr>
      <vt:lpstr>EVANDRO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USUARIO</cp:lastModifiedBy>
  <dcterms:created xsi:type="dcterms:W3CDTF">2019-07-30T22:07:05Z</dcterms:created>
  <dcterms:modified xsi:type="dcterms:W3CDTF">2026-09-30T18:03:47Z</dcterms:modified>
</cp:coreProperties>
</file>